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v1136\Desktop\ЭиС\Цебро_лаб3\"/>
    </mc:Choice>
  </mc:AlternateContent>
  <xr:revisionPtr revIDLastSave="0" documentId="13_ncr:1_{5EB93829-1602-4F8E-A8D0-6EB065971B48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Образец" sheetId="1" r:id="rId1"/>
    <sheet name="RC ФВЧ" sheetId="2" r:id="rId2"/>
    <sheet name="RL ФВЧ" sheetId="4" r:id="rId3"/>
    <sheet name="RC ФНЧ" sheetId="5" r:id="rId4"/>
    <sheet name="RL ФНЧ" sheetId="3" r:id="rId5"/>
    <sheet name="T ФВЧ" sheetId="6" r:id="rId6"/>
    <sheet name="T ФНЧ" sheetId="7" r:id="rId7"/>
    <sheet name="П ФВЧ" sheetId="8" r:id="rId8"/>
    <sheet name="П ФНЧ" sheetId="9" r:id="rId9"/>
    <sheet name="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0" l="1"/>
  <c r="I13" i="10"/>
  <c r="B7" i="10"/>
  <c r="B6" i="10" s="1"/>
  <c r="J5" i="10"/>
  <c r="I5" i="10"/>
  <c r="I6" i="10" s="1"/>
  <c r="H5" i="10"/>
  <c r="H6" i="10" s="1"/>
  <c r="G5" i="10"/>
  <c r="F5" i="10"/>
  <c r="E5" i="10"/>
  <c r="E6" i="10" s="1"/>
  <c r="D5" i="10"/>
  <c r="D6" i="10" s="1"/>
  <c r="C5" i="10"/>
  <c r="C6" i="10" s="1"/>
  <c r="B5" i="10"/>
  <c r="H13" i="10"/>
  <c r="G13" i="10"/>
  <c r="F13" i="10"/>
  <c r="E13" i="10"/>
  <c r="D13" i="10"/>
  <c r="C13" i="10"/>
  <c r="B13" i="10"/>
  <c r="B13" i="5"/>
  <c r="C13" i="5"/>
  <c r="D13" i="5"/>
  <c r="E13" i="5"/>
  <c r="F13" i="5"/>
  <c r="G13" i="5"/>
  <c r="H13" i="5"/>
  <c r="I13" i="5"/>
  <c r="J13" i="5"/>
  <c r="H13" i="9"/>
  <c r="G13" i="9"/>
  <c r="F13" i="9"/>
  <c r="E13" i="9"/>
  <c r="D13" i="9"/>
  <c r="C13" i="9"/>
  <c r="B13" i="9"/>
  <c r="H5" i="9"/>
  <c r="G5" i="9"/>
  <c r="F5" i="9"/>
  <c r="E5" i="9"/>
  <c r="D5" i="9"/>
  <c r="C5" i="9"/>
  <c r="B5" i="9"/>
  <c r="J13" i="8"/>
  <c r="I13" i="8"/>
  <c r="H13" i="8"/>
  <c r="G13" i="8"/>
  <c r="F13" i="8"/>
  <c r="E13" i="8"/>
  <c r="D13" i="8"/>
  <c r="C13" i="8"/>
  <c r="B13" i="8"/>
  <c r="B15" i="8" s="1"/>
  <c r="D14" i="8" s="1"/>
  <c r="J5" i="8"/>
  <c r="I5" i="8"/>
  <c r="H5" i="8"/>
  <c r="G5" i="8"/>
  <c r="F5" i="8"/>
  <c r="E5" i="8"/>
  <c r="D5" i="8"/>
  <c r="C5" i="8"/>
  <c r="B5" i="8"/>
  <c r="J13" i="7"/>
  <c r="I13" i="7"/>
  <c r="H13" i="7"/>
  <c r="G13" i="7"/>
  <c r="F13" i="7"/>
  <c r="E13" i="7"/>
  <c r="D13" i="7"/>
  <c r="C13" i="7"/>
  <c r="B13" i="7"/>
  <c r="J5" i="7"/>
  <c r="I5" i="7"/>
  <c r="H5" i="7"/>
  <c r="G5" i="7"/>
  <c r="F5" i="7"/>
  <c r="E5" i="7"/>
  <c r="D5" i="7"/>
  <c r="C5" i="7"/>
  <c r="B5" i="7"/>
  <c r="J13" i="6"/>
  <c r="I13" i="6"/>
  <c r="H13" i="6"/>
  <c r="G13" i="6"/>
  <c r="F13" i="6"/>
  <c r="E13" i="6"/>
  <c r="D13" i="6"/>
  <c r="C13" i="6"/>
  <c r="B13" i="6"/>
  <c r="J5" i="6"/>
  <c r="I5" i="6"/>
  <c r="H5" i="6"/>
  <c r="G5" i="6"/>
  <c r="F5" i="6"/>
  <c r="E5" i="6"/>
  <c r="D5" i="6"/>
  <c r="C5" i="6"/>
  <c r="B5" i="6"/>
  <c r="J5" i="5"/>
  <c r="I5" i="5"/>
  <c r="H5" i="5"/>
  <c r="G5" i="5"/>
  <c r="F5" i="5"/>
  <c r="E5" i="5"/>
  <c r="D5" i="5"/>
  <c r="C5" i="5"/>
  <c r="B5" i="5"/>
  <c r="J13" i="4"/>
  <c r="I13" i="4"/>
  <c r="H13" i="4"/>
  <c r="G13" i="4"/>
  <c r="F13" i="4"/>
  <c r="E13" i="4"/>
  <c r="D13" i="4"/>
  <c r="C13" i="4"/>
  <c r="B13" i="4"/>
  <c r="J5" i="4"/>
  <c r="I5" i="4"/>
  <c r="H5" i="4"/>
  <c r="G5" i="4"/>
  <c r="F5" i="4"/>
  <c r="E5" i="4"/>
  <c r="D5" i="4"/>
  <c r="C5" i="4"/>
  <c r="B5" i="4"/>
  <c r="J13" i="1"/>
  <c r="J5" i="1"/>
  <c r="J13" i="3"/>
  <c r="I13" i="3"/>
  <c r="H13" i="3"/>
  <c r="G13" i="3"/>
  <c r="F13" i="3"/>
  <c r="E13" i="3"/>
  <c r="D13" i="3"/>
  <c r="C13" i="3"/>
  <c r="B13" i="3"/>
  <c r="J5" i="3"/>
  <c r="I5" i="3"/>
  <c r="H5" i="3"/>
  <c r="G5" i="3"/>
  <c r="F5" i="3"/>
  <c r="E5" i="3"/>
  <c r="D5" i="3"/>
  <c r="C5" i="3"/>
  <c r="B5" i="3"/>
  <c r="J12" i="1"/>
  <c r="I12" i="1"/>
  <c r="H12" i="1"/>
  <c r="G12" i="1"/>
  <c r="F12" i="1"/>
  <c r="E12" i="1"/>
  <c r="D12" i="1"/>
  <c r="C12" i="1"/>
  <c r="B12" i="1"/>
  <c r="B14" i="2"/>
  <c r="C14" i="2"/>
  <c r="D14" i="2"/>
  <c r="E14" i="2"/>
  <c r="F14" i="2"/>
  <c r="G14" i="2"/>
  <c r="H14" i="2"/>
  <c r="I14" i="2"/>
  <c r="J14" i="2"/>
  <c r="G13" i="2"/>
  <c r="E5" i="2"/>
  <c r="D5" i="2"/>
  <c r="J13" i="2"/>
  <c r="F13" i="2"/>
  <c r="E13" i="2"/>
  <c r="D13" i="2"/>
  <c r="C13" i="2"/>
  <c r="B13" i="2"/>
  <c r="J5" i="2"/>
  <c r="I5" i="2"/>
  <c r="H5" i="2"/>
  <c r="G5" i="2"/>
  <c r="F5" i="2"/>
  <c r="C5" i="2"/>
  <c r="B5" i="2"/>
  <c r="C4" i="1"/>
  <c r="D4" i="1"/>
  <c r="E4" i="1"/>
  <c r="F4" i="1"/>
  <c r="G4" i="1"/>
  <c r="H4" i="1"/>
  <c r="I4" i="1"/>
  <c r="J4" i="1"/>
  <c r="B4" i="1"/>
  <c r="B6" i="1" s="1"/>
  <c r="D5" i="1" s="1"/>
  <c r="B15" i="10" l="1"/>
  <c r="E14" i="10" s="1"/>
  <c r="G6" i="10"/>
  <c r="J6" i="10"/>
  <c r="F6" i="10"/>
  <c r="B15" i="9"/>
  <c r="D14" i="9" s="1"/>
  <c r="B7" i="9"/>
  <c r="B6" i="9" s="1"/>
  <c r="C14" i="8"/>
  <c r="E14" i="8"/>
  <c r="F14" i="8"/>
  <c r="G14" i="8"/>
  <c r="H14" i="8"/>
  <c r="I14" i="8"/>
  <c r="J14" i="8"/>
  <c r="B7" i="8"/>
  <c r="E6" i="8" s="1"/>
  <c r="B14" i="8"/>
  <c r="B15" i="7"/>
  <c r="B14" i="7" s="1"/>
  <c r="B7" i="7"/>
  <c r="D6" i="7" s="1"/>
  <c r="B15" i="6"/>
  <c r="G14" i="6" s="1"/>
  <c r="B7" i="6"/>
  <c r="I6" i="6" s="1"/>
  <c r="B15" i="5"/>
  <c r="I14" i="5" s="1"/>
  <c r="B15" i="3"/>
  <c r="H14" i="3" s="1"/>
  <c r="B7" i="5"/>
  <c r="B15" i="4"/>
  <c r="I14" i="4" s="1"/>
  <c r="B7" i="4"/>
  <c r="B6" i="4" s="1"/>
  <c r="B7" i="3"/>
  <c r="B6" i="3" s="1"/>
  <c r="C5" i="1"/>
  <c r="E5" i="1"/>
  <c r="I5" i="1"/>
  <c r="B14" i="1"/>
  <c r="B13" i="1" s="1"/>
  <c r="B5" i="1"/>
  <c r="I13" i="2"/>
  <c r="B7" i="2"/>
  <c r="G5" i="1"/>
  <c r="H5" i="1"/>
  <c r="F5" i="1"/>
  <c r="H14" i="10" l="1"/>
  <c r="B14" i="10"/>
  <c r="F14" i="10"/>
  <c r="G14" i="10"/>
  <c r="D14" i="10"/>
  <c r="C14" i="10"/>
  <c r="D6" i="9"/>
  <c r="H14" i="9"/>
  <c r="F14" i="9"/>
  <c r="G14" i="9"/>
  <c r="E6" i="9"/>
  <c r="C6" i="9"/>
  <c r="H6" i="9"/>
  <c r="F6" i="9"/>
  <c r="B14" i="9"/>
  <c r="E14" i="9"/>
  <c r="C14" i="9"/>
  <c r="G6" i="9"/>
  <c r="J6" i="8"/>
  <c r="B6" i="8"/>
  <c r="H6" i="8"/>
  <c r="I6" i="8"/>
  <c r="F6" i="8"/>
  <c r="G6" i="8"/>
  <c r="C6" i="8"/>
  <c r="D6" i="8"/>
  <c r="G14" i="7"/>
  <c r="J14" i="7"/>
  <c r="D14" i="7"/>
  <c r="E14" i="7"/>
  <c r="F14" i="7"/>
  <c r="C14" i="7"/>
  <c r="I14" i="7"/>
  <c r="H14" i="7"/>
  <c r="I6" i="7"/>
  <c r="E6" i="7"/>
  <c r="F6" i="7"/>
  <c r="C6" i="7"/>
  <c r="B6" i="7"/>
  <c r="H6" i="7"/>
  <c r="G6" i="7"/>
  <c r="J6" i="7"/>
  <c r="C14" i="6"/>
  <c r="D14" i="6"/>
  <c r="E14" i="6"/>
  <c r="J14" i="6"/>
  <c r="F14" i="6"/>
  <c r="B14" i="6"/>
  <c r="H14" i="6"/>
  <c r="I14" i="6"/>
  <c r="G6" i="6"/>
  <c r="C6" i="6"/>
  <c r="F6" i="6"/>
  <c r="D6" i="6"/>
  <c r="J6" i="6"/>
  <c r="H6" i="6"/>
  <c r="E6" i="6"/>
  <c r="B6" i="6"/>
  <c r="D14" i="3"/>
  <c r="B14" i="3"/>
  <c r="I14" i="3"/>
  <c r="G14" i="5"/>
  <c r="H14" i="5"/>
  <c r="B14" i="5"/>
  <c r="F14" i="5"/>
  <c r="J14" i="5"/>
  <c r="C14" i="5"/>
  <c r="E14" i="5"/>
  <c r="D14" i="5"/>
  <c r="F14" i="3"/>
  <c r="C14" i="3"/>
  <c r="J14" i="3"/>
  <c r="G14" i="3"/>
  <c r="E14" i="3"/>
  <c r="H6" i="5"/>
  <c r="E6" i="5"/>
  <c r="G6" i="5"/>
  <c r="D6" i="5"/>
  <c r="F6" i="5"/>
  <c r="J6" i="5"/>
  <c r="B6" i="5"/>
  <c r="I6" i="5"/>
  <c r="C6" i="5"/>
  <c r="H6" i="4"/>
  <c r="H14" i="4"/>
  <c r="G14" i="4"/>
  <c r="J14" i="4"/>
  <c r="F14" i="4"/>
  <c r="E14" i="4"/>
  <c r="B14" i="4"/>
  <c r="D14" i="4"/>
  <c r="C14" i="4"/>
  <c r="G6" i="4"/>
  <c r="D6" i="4"/>
  <c r="J6" i="4"/>
  <c r="F6" i="4"/>
  <c r="C6" i="4"/>
  <c r="I6" i="4"/>
  <c r="E6" i="4"/>
  <c r="E6" i="3"/>
  <c r="D6" i="3"/>
  <c r="C6" i="3"/>
  <c r="F6" i="3"/>
  <c r="J6" i="3"/>
  <c r="G6" i="3"/>
  <c r="H6" i="3"/>
  <c r="I6" i="3"/>
  <c r="G13" i="1"/>
  <c r="E13" i="1"/>
  <c r="C13" i="1"/>
  <c r="F13" i="1"/>
  <c r="I13" i="1"/>
  <c r="H13" i="1"/>
  <c r="D13" i="1"/>
  <c r="H13" i="2"/>
  <c r="B15" i="2" s="1"/>
  <c r="G6" i="2"/>
  <c r="I6" i="2"/>
  <c r="H6" i="2"/>
  <c r="J6" i="2"/>
  <c r="F6" i="2"/>
  <c r="C6" i="2"/>
  <c r="D6" i="2"/>
  <c r="B6" i="2"/>
  <c r="E6" i="2"/>
</calcChain>
</file>

<file path=xl/sharedStrings.xml><?xml version="1.0" encoding="utf-8"?>
<sst xmlns="http://schemas.openxmlformats.org/spreadsheetml/2006/main" count="154" uniqueCount="17">
  <si>
    <t>Uвх</t>
  </si>
  <si>
    <t>Uвых</t>
  </si>
  <si>
    <t>K = K/Kmax</t>
  </si>
  <si>
    <t>F, Гц</t>
  </si>
  <si>
    <t>Kmax =</t>
  </si>
  <si>
    <t>K = Uвых/Uвх</t>
  </si>
  <si>
    <t>С1 = 10</t>
  </si>
  <si>
    <t>С2 = 20</t>
  </si>
  <si>
    <t>L1 = 10</t>
  </si>
  <si>
    <t>L2 = 20</t>
  </si>
  <si>
    <t>C1 = 10</t>
  </si>
  <si>
    <t>C2 = 20</t>
  </si>
  <si>
    <t>C2</t>
  </si>
  <si>
    <t>C1</t>
  </si>
  <si>
    <t>L1</t>
  </si>
  <si>
    <t>L2</t>
  </si>
  <si>
    <t>RC ФНЧ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</si>
</sst>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</a:t>
            </a:r>
            <a:r>
              <a:rPr lang="en-US" baseline="0"/>
              <a:t> </a:t>
            </a:r>
            <a:r>
              <a:rPr lang="ru-RU" baseline="0"/>
              <a:t>ФВЧ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'RC ФВЧ'!$A$19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'RC ФВЧ'!$B$18:$J$18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  <c:pt idx="6">
                  <c:v>2500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'RC ФВЧ'!$B$19:$J$19</c:f>
              <c:numCache>
                <c:formatCode>General</c:formatCode>
                <c:ptCount val="9"/>
                <c:pt idx="0">
                  <c:v>1.15469139941148E-3</c:v>
                </c:pt>
                <c:pt idx="1">
                  <c:v>5.8479532163742695E-3</c:v>
                </c:pt>
                <c:pt idx="2">
                  <c:v>1.1695906432748539E-2</c:v>
                </c:pt>
                <c:pt idx="3">
                  <c:v>2.9258390136700559E-2</c:v>
                </c:pt>
                <c:pt idx="4">
                  <c:v>5.8479532163742701E-2</c:v>
                </c:pt>
                <c:pt idx="5">
                  <c:v>0.11682869594368085</c:v>
                </c:pt>
                <c:pt idx="6">
                  <c:v>0.28958542853950159</c:v>
                </c:pt>
                <c:pt idx="7">
                  <c:v>0.56240920773270764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3-4F4A-8CFB-0EABCCF8467F}"/>
            </c:ext>
          </c:extLst>
        </c:ser>
        <c:ser>
          <c:idx val="1"/>
          <c:order val="1"/>
          <c:tx>
            <c:strRef>
              <c:f>'RC ФВЧ'!$A$20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'RC ФВЧ'!$B$18:$J$18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  <c:pt idx="6">
                  <c:v>2500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'RC ФВЧ'!$B$20:$J$20</c:f>
              <c:numCache>
                <c:formatCode>General</c:formatCode>
                <c:ptCount val="9"/>
                <c:pt idx="0">
                  <c:v>1.6023399249697971E-3</c:v>
                </c:pt>
                <c:pt idx="1">
                  <c:v>7.9862656577859726E-3</c:v>
                </c:pt>
                <c:pt idx="2">
                  <c:v>1.5985248299103451E-2</c:v>
                </c:pt>
                <c:pt idx="3">
                  <c:v>3.9931328288929868E-2</c:v>
                </c:pt>
                <c:pt idx="4">
                  <c:v>7.9748203726076161E-2</c:v>
                </c:pt>
                <c:pt idx="5">
                  <c:v>0.15860621860494689</c:v>
                </c:pt>
                <c:pt idx="6">
                  <c:v>0.3818655814840719</c:v>
                </c:pt>
                <c:pt idx="7">
                  <c:v>0.68057480765562406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3-4F4A-8CFB-0EABCCF84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43167"/>
        <c:axId val="2033052287"/>
      </c:lineChart>
      <c:catAx>
        <c:axId val="203304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52287"/>
        <c:crosses val="autoZero"/>
        <c:auto val="1"/>
        <c:lblAlgn val="ctr"/>
        <c:lblOffset val="100"/>
        <c:noMultiLvlLbl val="0"/>
      </c:catAx>
      <c:valAx>
        <c:axId val="20330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 </a:t>
            </a:r>
            <a:r>
              <a:rPr lang="ru-RU"/>
              <a:t>ФВЧ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 ФВЧ'!$A$20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'RL ФВЧ'!$B$19:$J$19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  <c:pt idx="6">
                  <c:v>2500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'RL ФВЧ'!$B$20:$J$20</c:f>
              <c:numCache>
                <c:formatCode>General</c:formatCode>
                <c:ptCount val="9"/>
                <c:pt idx="0">
                  <c:v>6.3000000000000003E-4</c:v>
                </c:pt>
                <c:pt idx="1">
                  <c:v>3.14E-3</c:v>
                </c:pt>
                <c:pt idx="2">
                  <c:v>6.28E-3</c:v>
                </c:pt>
                <c:pt idx="3">
                  <c:v>1.5709999999999998E-2</c:v>
                </c:pt>
                <c:pt idx="4">
                  <c:v>3.1400000000000004E-2</c:v>
                </c:pt>
                <c:pt idx="5">
                  <c:v>6.2729999999999994E-2</c:v>
                </c:pt>
                <c:pt idx="6">
                  <c:v>0.15545</c:v>
                </c:pt>
                <c:pt idx="7">
                  <c:v>0.30170000000000002</c:v>
                </c:pt>
                <c:pt idx="8">
                  <c:v>0.53539999999999999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3-4314-A577-483FF20E211F}"/>
            </c:ext>
          </c:extLst>
        </c:ser>
        <c:ser>
          <c:idx val="1"/>
          <c:order val="1"/>
          <c:tx>
            <c:strRef>
              <c:f>'RL ФВЧ'!$A$21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'RL ФВЧ'!$B$19:$J$19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  <c:pt idx="6">
                  <c:v>2500</c:v>
                </c:pt>
                <c:pt idx="7">
                  <c:v>5000</c:v>
                </c:pt>
                <c:pt idx="8">
                  <c:v>10000</c:v>
                </c:pt>
              </c:numCache>
            </c:numRef>
          </c:cat>
          <c:val>
            <c:numRef>
              <c:f>'RL ФВЧ'!$B$21:$J$21</c:f>
              <c:numCache>
                <c:formatCode>General</c:formatCode>
                <c:ptCount val="9"/>
                <c:pt idx="0">
                  <c:v>1.2600000000000001E-3</c:v>
                </c:pt>
                <c:pt idx="1">
                  <c:v>6.28E-3</c:v>
                </c:pt>
                <c:pt idx="2">
                  <c:v>1.257E-2</c:v>
                </c:pt>
                <c:pt idx="3">
                  <c:v>3.1400000000000004E-2</c:v>
                </c:pt>
                <c:pt idx="4">
                  <c:v>6.2710000000000002E-2</c:v>
                </c:pt>
                <c:pt idx="5">
                  <c:v>0.12470000000000001</c:v>
                </c:pt>
                <c:pt idx="6">
                  <c:v>0.30001</c:v>
                </c:pt>
                <c:pt idx="7">
                  <c:v>0.53363000000000005</c:v>
                </c:pt>
                <c:pt idx="8">
                  <c:v>0.78153000000000006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3-4314-A577-483FF20E2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65247"/>
        <c:axId val="2033061887"/>
      </c:lineChart>
      <c:catAx>
        <c:axId val="203306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61887"/>
        <c:crosses val="autoZero"/>
        <c:auto val="1"/>
        <c:lblAlgn val="ctr"/>
        <c:lblOffset val="100"/>
        <c:noMultiLvlLbl val="0"/>
      </c:catAx>
      <c:valAx>
        <c:axId val="20330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6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 </a:t>
            </a:r>
            <a:r>
              <a:rPr lang="ru-RU"/>
              <a:t>ФНЧ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'RC ФНЧ'!$A$19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'RC ФНЧ'!$B$18:$J$18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75000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cat>
          <c:val>
            <c:numRef>
              <c:f>'RC ФНЧ'!$B$19:$J$19</c:f>
              <c:numCache>
                <c:formatCode>General</c:formatCode>
                <c:ptCount val="9"/>
                <c:pt idx="0">
                  <c:v>0.99007999999999996</c:v>
                </c:pt>
                <c:pt idx="1">
                  <c:v>0.98962000000000006</c:v>
                </c:pt>
                <c:pt idx="2">
                  <c:v>0.98817999999999995</c:v>
                </c:pt>
                <c:pt idx="3">
                  <c:v>0.94469999999999998</c:v>
                </c:pt>
                <c:pt idx="4">
                  <c:v>0.83760000000000001</c:v>
                </c:pt>
                <c:pt idx="5">
                  <c:v>0.29948000000000002</c:v>
                </c:pt>
                <c:pt idx="6">
                  <c:v>0.20492999999999997</c:v>
                </c:pt>
                <c:pt idx="7">
                  <c:v>0.15515999999999999</c:v>
                </c:pt>
                <c:pt idx="8">
                  <c:v>7.8310000000000005E-2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B-4F26-AC7A-69DF76509340}"/>
            </c:ext>
          </c:extLst>
        </c:ser>
        <c:ser>
          <c:idx val="1"/>
          <c:order val="1"/>
          <c:tx>
            <c:strRef>
              <c:f>'RC ФНЧ'!$A$20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'RC ФНЧ'!$B$18:$J$18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75000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cat>
          <c:val>
            <c:numRef>
              <c:f>'RC ФНЧ'!$B$20:$J$20</c:f>
              <c:numCache>
                <c:formatCode>General</c:formatCode>
                <c:ptCount val="9"/>
                <c:pt idx="0">
                  <c:v>0.99002999999999997</c:v>
                </c:pt>
                <c:pt idx="1">
                  <c:v>0.98819000000000001</c:v>
                </c:pt>
                <c:pt idx="2">
                  <c:v>0.98251999999999995</c:v>
                </c:pt>
                <c:pt idx="3">
                  <c:v>0.83873000000000009</c:v>
                </c:pt>
                <c:pt idx="4">
                  <c:v>0.61534</c:v>
                </c:pt>
                <c:pt idx="5">
                  <c:v>0.15515999999999999</c:v>
                </c:pt>
                <c:pt idx="6">
                  <c:v>0.10416</c:v>
                </c:pt>
                <c:pt idx="7">
                  <c:v>7.8310000000000005E-2</c:v>
                </c:pt>
                <c:pt idx="8">
                  <c:v>3.9239999999999997E-2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B-4F26-AC7A-69DF76509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42207"/>
        <c:axId val="2033054687"/>
      </c:lineChart>
      <c:catAx>
        <c:axId val="203304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54687"/>
        <c:crosses val="autoZero"/>
        <c:auto val="1"/>
        <c:lblAlgn val="ctr"/>
        <c:lblOffset val="100"/>
        <c:noMultiLvlLbl val="0"/>
      </c:catAx>
      <c:valAx>
        <c:axId val="203305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4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 </a:t>
            </a:r>
            <a:r>
              <a:rPr lang="ru-RU"/>
              <a:t>ФНЧ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 ФНЧ'!$A$20</c:f>
              <c:strCache>
                <c:ptCount val="1"/>
                <c:pt idx="0">
                  <c:v>L1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'RL ФНЧ'!$B$19:$J$19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75000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cat>
          <c:val>
            <c:numRef>
              <c:f>'RL ФНЧ'!$B$20:$J$20</c:f>
              <c:numCache>
                <c:formatCode>General</c:formatCode>
                <c:ptCount val="9"/>
                <c:pt idx="0">
                  <c:v>0.99998000000000009</c:v>
                </c:pt>
                <c:pt idx="1">
                  <c:v>0.9995099999999999</c:v>
                </c:pt>
                <c:pt idx="2">
                  <c:v>0.99802999999999997</c:v>
                </c:pt>
                <c:pt idx="3">
                  <c:v>0.95330000000000004</c:v>
                </c:pt>
                <c:pt idx="4">
                  <c:v>0.84357000000000004</c:v>
                </c:pt>
                <c:pt idx="5">
                  <c:v>0.29975000000000002</c:v>
                </c:pt>
                <c:pt idx="6">
                  <c:v>0.20501000000000003</c:v>
                </c:pt>
                <c:pt idx="7">
                  <c:v>0.15518999999999999</c:v>
                </c:pt>
                <c:pt idx="8">
                  <c:v>7.8310000000000005E-2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8-4672-9582-05E0FDA1F2E3}"/>
            </c:ext>
          </c:extLst>
        </c:ser>
        <c:ser>
          <c:idx val="1"/>
          <c:order val="1"/>
          <c:tx>
            <c:strRef>
              <c:f>'RL ФНЧ'!$A$21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'RL ФНЧ'!$B$19:$J$19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75000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cat>
          <c:val>
            <c:numRef>
              <c:f>'RL ФНЧ'!$B$21:$J$21</c:f>
              <c:numCache>
                <c:formatCode>General</c:formatCode>
                <c:ptCount val="9"/>
                <c:pt idx="0">
                  <c:v>0.99992000000000003</c:v>
                </c:pt>
                <c:pt idx="1">
                  <c:v>0.99802999999999997</c:v>
                </c:pt>
                <c:pt idx="2">
                  <c:v>0.99218999999999991</c:v>
                </c:pt>
                <c:pt idx="3">
                  <c:v>0.84472999999999998</c:v>
                </c:pt>
                <c:pt idx="4">
                  <c:v>0.61768000000000001</c:v>
                </c:pt>
                <c:pt idx="5">
                  <c:v>0.1552</c:v>
                </c:pt>
                <c:pt idx="6">
                  <c:v>0.10417</c:v>
                </c:pt>
                <c:pt idx="7">
                  <c:v>7.8350000000000003E-2</c:v>
                </c:pt>
                <c:pt idx="8">
                  <c:v>3.9269999999999999E-2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8-4672-9582-05E0FDA1F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10527"/>
        <c:axId val="2033012447"/>
      </c:lineChart>
      <c:catAx>
        <c:axId val="203301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12447"/>
        <c:crosses val="autoZero"/>
        <c:auto val="1"/>
        <c:lblAlgn val="ctr"/>
        <c:lblOffset val="100"/>
        <c:noMultiLvlLbl val="0"/>
      </c:catAx>
      <c:valAx>
        <c:axId val="203301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1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</a:t>
            </a:r>
            <a:r>
              <a:rPr lang="ru-RU"/>
              <a:t>ФВЧ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 ФВЧ'!$A$19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 ФВЧ'!$B$18:$J$18</c:f>
              <c:numCache>
                <c:formatCode>General</c:formatCode>
                <c:ptCount val="9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cat>
          <c:val>
            <c:numRef>
              <c:f>'T ФВЧ'!$B$19:$J$19</c:f>
              <c:numCache>
                <c:formatCode>General</c:formatCode>
                <c:ptCount val="9"/>
                <c:pt idx="0">
                  <c:v>4.0000000000000003E-5</c:v>
                </c:pt>
                <c:pt idx="1">
                  <c:v>2.5000000000000001E-4</c:v>
                </c:pt>
                <c:pt idx="2">
                  <c:v>9.7999999999999997E-4</c:v>
                </c:pt>
                <c:pt idx="3">
                  <c:v>3.8700000000000002E-3</c:v>
                </c:pt>
                <c:pt idx="4">
                  <c:v>2.213E-2</c:v>
                </c:pt>
                <c:pt idx="5">
                  <c:v>6.9339999999999999E-2</c:v>
                </c:pt>
                <c:pt idx="6">
                  <c:v>0.15856000000000001</c:v>
                </c:pt>
                <c:pt idx="7">
                  <c:v>0.31627</c:v>
                </c:pt>
                <c:pt idx="8">
                  <c:v>0.32883000000000001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3-46BD-85AA-FFD859D0AC75}"/>
            </c:ext>
          </c:extLst>
        </c:ser>
        <c:ser>
          <c:idx val="1"/>
          <c:order val="1"/>
          <c:tx>
            <c:strRef>
              <c:f>'T ФВЧ'!$A$20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 ФВЧ'!$B$18:$J$18</c:f>
              <c:numCache>
                <c:formatCode>General</c:formatCode>
                <c:ptCount val="9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cat>
          <c:val>
            <c:numRef>
              <c:f>'T ФВЧ'!$B$20:$J$20</c:f>
              <c:numCache>
                <c:formatCode>General</c:formatCode>
                <c:ptCount val="9"/>
                <c:pt idx="0">
                  <c:v>7.0000000000000007E-5</c:v>
                </c:pt>
                <c:pt idx="1">
                  <c:v>4.8999999999999998E-4</c:v>
                </c:pt>
                <c:pt idx="2">
                  <c:v>1.9500000000000001E-3</c:v>
                </c:pt>
                <c:pt idx="3">
                  <c:v>7.5500000000000003E-3</c:v>
                </c:pt>
                <c:pt idx="4">
                  <c:v>3.8969999999999998E-2</c:v>
                </c:pt>
                <c:pt idx="5">
                  <c:v>0.10335000000000001</c:v>
                </c:pt>
                <c:pt idx="6">
                  <c:v>0.19868</c:v>
                </c:pt>
                <c:pt idx="7">
                  <c:v>0.32283000000000001</c:v>
                </c:pt>
                <c:pt idx="8">
                  <c:v>0.33061000000000001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D3-46BD-85AA-FFD859D0A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06207"/>
        <c:axId val="2033028287"/>
      </c:lineChart>
      <c:catAx>
        <c:axId val="203300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28287"/>
        <c:crosses val="autoZero"/>
        <c:auto val="1"/>
        <c:lblAlgn val="ctr"/>
        <c:lblOffset val="100"/>
        <c:noMultiLvlLbl val="0"/>
      </c:catAx>
      <c:valAx>
        <c:axId val="20330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0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</a:t>
            </a:r>
            <a:r>
              <a:rPr lang="ru-RU"/>
              <a:t>ФНЧ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 ФНЧ'!$A$19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 ФНЧ'!$B$18:$J$18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75000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cat>
          <c:val>
            <c:numRef>
              <c:f>'T ФНЧ'!$B$19:$J$19</c:f>
              <c:numCache>
                <c:formatCode>General</c:formatCode>
                <c:ptCount val="9"/>
                <c:pt idx="0">
                  <c:v>0.45454</c:v>
                </c:pt>
                <c:pt idx="1">
                  <c:v>0.45448</c:v>
                </c:pt>
                <c:pt idx="2">
                  <c:v>0.45427000000000001</c:v>
                </c:pt>
                <c:pt idx="3">
                  <c:v>0.44780000000000003</c:v>
                </c:pt>
                <c:pt idx="4">
                  <c:v>0.42901000000000006</c:v>
                </c:pt>
                <c:pt idx="5">
                  <c:v>0.22545999999999999</c:v>
                </c:pt>
                <c:pt idx="6">
                  <c:v>0.16178000000000001</c:v>
                </c:pt>
                <c:pt idx="7">
                  <c:v>0.12484000000000001</c:v>
                </c:pt>
                <c:pt idx="8">
                  <c:v>6.4259999999999998E-2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6-46CE-B9A9-20859C5EC223}"/>
            </c:ext>
          </c:extLst>
        </c:ser>
        <c:ser>
          <c:idx val="1"/>
          <c:order val="1"/>
          <c:tx>
            <c:strRef>
              <c:f>'T ФНЧ'!$A$20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 ФНЧ'!$B$18:$J$18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75000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cat>
          <c:val>
            <c:numRef>
              <c:f>'T ФНЧ'!$B$20:$J$20</c:f>
              <c:numCache>
                <c:formatCode>General</c:formatCode>
                <c:ptCount val="9"/>
                <c:pt idx="0">
                  <c:v>0.45454</c:v>
                </c:pt>
                <c:pt idx="1">
                  <c:v>0.45427000000000001</c:v>
                </c:pt>
                <c:pt idx="2">
                  <c:v>0.45345999999999997</c:v>
                </c:pt>
                <c:pt idx="3">
                  <c:v>0.42923</c:v>
                </c:pt>
                <c:pt idx="4">
                  <c:v>0.37232999999999999</c:v>
                </c:pt>
                <c:pt idx="5">
                  <c:v>0.12484000000000001</c:v>
                </c:pt>
                <c:pt idx="6">
                  <c:v>8.5029999999999994E-2</c:v>
                </c:pt>
                <c:pt idx="7">
                  <c:v>6.4259999999999998E-2</c:v>
                </c:pt>
                <c:pt idx="8">
                  <c:v>3.2379999999999999E-2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6-46CE-B9A9-20859C5EC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11007"/>
        <c:axId val="2033005727"/>
      </c:lineChart>
      <c:catAx>
        <c:axId val="20330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05727"/>
        <c:crosses val="autoZero"/>
        <c:auto val="1"/>
        <c:lblAlgn val="ctr"/>
        <c:lblOffset val="100"/>
        <c:noMultiLvlLbl val="0"/>
      </c:catAx>
      <c:valAx>
        <c:axId val="203300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 ФВЧ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 ФВЧ'!$A$20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 ФВЧ'!$B$19:$J$19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1000</c:v>
                </c:pt>
              </c:numCache>
            </c:numRef>
          </c:cat>
          <c:val>
            <c:numRef>
              <c:f>'П ФВЧ'!$B$20:$J$20</c:f>
              <c:numCache>
                <c:formatCode>General</c:formatCode>
                <c:ptCount val="9"/>
                <c:pt idx="0">
                  <c:v>1.5679999999999999E-2</c:v>
                </c:pt>
                <c:pt idx="1">
                  <c:v>7.5490000000000002E-2</c:v>
                </c:pt>
                <c:pt idx="2">
                  <c:v>0.13422999999999999</c:v>
                </c:pt>
                <c:pt idx="3">
                  <c:v>0.17263999999999999</c:v>
                </c:pt>
                <c:pt idx="4">
                  <c:v>0.19658999999999999</c:v>
                </c:pt>
                <c:pt idx="5">
                  <c:v>0.21167000000000002</c:v>
                </c:pt>
                <c:pt idx="6">
                  <c:v>0.23852000000000001</c:v>
                </c:pt>
                <c:pt idx="7">
                  <c:v>0.24698000000000001</c:v>
                </c:pt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5-4BCB-92A0-77D730E7FE05}"/>
            </c:ext>
          </c:extLst>
        </c:ser>
        <c:ser>
          <c:idx val="1"/>
          <c:order val="1"/>
          <c:tx>
            <c:strRef>
              <c:f>'П ФВЧ'!$A$21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 ФВЧ'!$B$19:$J$19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  <c:pt idx="8">
                  <c:v>1000</c:v>
                </c:pt>
              </c:numCache>
            </c:numRef>
          </c:cat>
          <c:val>
            <c:numRef>
              <c:f>'П ФВЧ'!$B$21:$J$21</c:f>
              <c:numCache>
                <c:formatCode>General</c:formatCode>
                <c:ptCount val="9"/>
                <c:pt idx="0">
                  <c:v>3.1179999999999999E-2</c:v>
                </c:pt>
                <c:pt idx="1">
                  <c:v>0.13378999999999999</c:v>
                </c:pt>
                <c:pt idx="2">
                  <c:v>0.1966</c:v>
                </c:pt>
                <c:pt idx="3">
                  <c:v>0.22148000000000001</c:v>
                </c:pt>
                <c:pt idx="4">
                  <c:v>0.23271999999999998</c:v>
                </c:pt>
                <c:pt idx="5">
                  <c:v>0.23852000000000001</c:v>
                </c:pt>
                <c:pt idx="6">
                  <c:v>0.24698000000000001</c:v>
                </c:pt>
                <c:pt idx="7">
                  <c:v>0.24922999999999998</c:v>
                </c:pt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5-4BCB-92A0-77D730E7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09567"/>
        <c:axId val="2033011967"/>
      </c:lineChart>
      <c:catAx>
        <c:axId val="20330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11967"/>
        <c:crosses val="autoZero"/>
        <c:auto val="1"/>
        <c:lblAlgn val="ctr"/>
        <c:lblOffset val="100"/>
        <c:noMultiLvlLbl val="0"/>
      </c:catAx>
      <c:valAx>
        <c:axId val="203301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 ФНЧ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 ФНЧ'!$A$19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 ФНЧ'!$B$18:$H$18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</c:numCache>
            </c:numRef>
          </c:cat>
          <c:val>
            <c:numRef>
              <c:f>'П ФНЧ'!$B$19:$H$19</c:f>
              <c:numCache>
                <c:formatCode>General</c:formatCode>
                <c:ptCount val="7"/>
                <c:pt idx="0">
                  <c:v>2.206E-2</c:v>
                </c:pt>
                <c:pt idx="1">
                  <c:v>3.8700000000000002E-3</c:v>
                </c:pt>
                <c:pt idx="2">
                  <c:v>1.57E-3</c:v>
                </c:pt>
                <c:pt idx="3">
                  <c:v>8.699999999999999E-4</c:v>
                </c:pt>
                <c:pt idx="4">
                  <c:v>5.1999999999999995E-4</c:v>
                </c:pt>
                <c:pt idx="5">
                  <c:v>2.1000000000000001E-4</c:v>
                </c:pt>
                <c:pt idx="6">
                  <c:v>6.0000000000000002E-5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F-45C5-98E2-D352F325AB3B}"/>
            </c:ext>
          </c:extLst>
        </c:ser>
        <c:ser>
          <c:idx val="1"/>
          <c:order val="1"/>
          <c:tx>
            <c:strRef>
              <c:f>'П ФНЧ'!$A$20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 ФНЧ'!$B$18:$H$18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</c:numCache>
            </c:numRef>
          </c:cat>
          <c:val>
            <c:numRef>
              <c:f>'П ФНЧ'!$B$20:$H$20</c:f>
              <c:numCache>
                <c:formatCode>General</c:formatCode>
                <c:ptCount val="7"/>
                <c:pt idx="0">
                  <c:v>5.9800000000000001E-3</c:v>
                </c:pt>
                <c:pt idx="1">
                  <c:v>1.57E-3</c:v>
                </c:pt>
                <c:pt idx="2">
                  <c:v>2.4000000000000001E-4</c:v>
                </c:pt>
                <c:pt idx="3">
                  <c:v>1.8999999999999998E-4</c:v>
                </c:pt>
                <c:pt idx="4">
                  <c:v>1.0000000000000001E-5</c:v>
                </c:pt>
                <c:pt idx="5">
                  <c:v>9.8700000000000004E-6</c:v>
                </c:pt>
                <c:pt idx="6">
                  <c:v>7.8999999999999995E-7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F-45C5-98E2-D352F325A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32607"/>
        <c:axId val="2033008127"/>
      </c:lineChart>
      <c:catAx>
        <c:axId val="20330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08127"/>
        <c:crosses val="autoZero"/>
        <c:auto val="1"/>
        <c:lblAlgn val="ctr"/>
        <c:lblOffset val="100"/>
        <c:noMultiLvlLbl val="0"/>
      </c:catAx>
      <c:valAx>
        <c:axId val="203300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03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'1'!$A$25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'1'!$B$24:$J$24</c:f>
              <c:numCache>
                <c:formatCode>General</c:formatCode>
                <c:ptCount val="9"/>
                <c:pt idx="0">
                  <c:v>50000</c:v>
                </c:pt>
                <c:pt idx="1">
                  <c:v>70000</c:v>
                </c:pt>
                <c:pt idx="2">
                  <c:v>72500</c:v>
                </c:pt>
                <c:pt idx="3">
                  <c:v>75000</c:v>
                </c:pt>
                <c:pt idx="4">
                  <c:v>77500</c:v>
                </c:pt>
                <c:pt idx="5">
                  <c:v>79000</c:v>
                </c:pt>
                <c:pt idx="6">
                  <c:v>82000</c:v>
                </c:pt>
                <c:pt idx="7">
                  <c:v>86000</c:v>
                </c:pt>
                <c:pt idx="8">
                  <c:v>100000</c:v>
                </c:pt>
              </c:numCache>
            </c:numRef>
          </c:cat>
          <c:val>
            <c:numRef>
              <c:f>'1'!$B$25:$J$25</c:f>
              <c:numCache>
                <c:formatCode>General</c:formatCode>
                <c:ptCount val="9"/>
                <c:pt idx="0">
                  <c:v>0.49703000000000003</c:v>
                </c:pt>
                <c:pt idx="1">
                  <c:v>0.45417000000000002</c:v>
                </c:pt>
                <c:pt idx="2">
                  <c:v>0.41353000000000001</c:v>
                </c:pt>
                <c:pt idx="3">
                  <c:v>0.31151000000000001</c:v>
                </c:pt>
                <c:pt idx="4">
                  <c:v>7.1539999999999992E-2</c:v>
                </c:pt>
                <c:pt idx="5">
                  <c:v>0.11505000000000001</c:v>
                </c:pt>
                <c:pt idx="6">
                  <c:v>0.34953000000000001</c:v>
                </c:pt>
                <c:pt idx="7">
                  <c:v>0.44380000000000003</c:v>
                </c:pt>
                <c:pt idx="8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F-49D2-A05A-8970C9E39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954320"/>
        <c:axId val="851955760"/>
      </c:lineChart>
      <c:catAx>
        <c:axId val="85195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1955760"/>
        <c:crosses val="autoZero"/>
        <c:auto val="1"/>
        <c:lblAlgn val="ctr"/>
        <c:lblOffset val="100"/>
        <c:noMultiLvlLbl val="0"/>
      </c:catAx>
      <c:valAx>
        <c:axId val="85195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195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'1'!$A$28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'1'!$B$27:$I$27</c:f>
              <c:numCache>
                <c:formatCode>General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2500</c:v>
                </c:pt>
              </c:numCache>
            </c:numRef>
          </c:cat>
          <c:val>
            <c:numRef>
              <c:f>'1'!$B$28:$I$28</c:f>
              <c:numCache>
                <c:formatCode>General</c:formatCode>
                <c:ptCount val="8"/>
                <c:pt idx="0">
                  <c:v>1.413E-2</c:v>
                </c:pt>
                <c:pt idx="1">
                  <c:v>2.826E-2</c:v>
                </c:pt>
                <c:pt idx="2">
                  <c:v>4.2350000000000006E-2</c:v>
                </c:pt>
                <c:pt idx="3">
                  <c:v>5.6410000000000002E-2</c:v>
                </c:pt>
                <c:pt idx="4">
                  <c:v>6.2619999999999995E-2</c:v>
                </c:pt>
                <c:pt idx="5">
                  <c:v>3.1390000000000001E-2</c:v>
                </c:pt>
                <c:pt idx="6">
                  <c:v>1.5709999999999998E-2</c:v>
                </c:pt>
                <c:pt idx="7">
                  <c:v>6.28E-3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F0B-BE7D-AB682E68B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941360"/>
        <c:axId val="851959600"/>
      </c:lineChart>
      <c:catAx>
        <c:axId val="85194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1959600"/>
        <c:crosses val="autoZero"/>
        <c:auto val="1"/>
        <c:lblAlgn val="ctr"/>
        <c:lblOffset val="100"/>
        <c:noMultiLvlLbl val="0"/>
      </c:catAx>
      <c:valAx>
        <c:axId val="8519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194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121920</xdr:colOff>
      <xdr:row>0</xdr:row>
      <xdr:rowOff>26670</xdr:rowOff>
    </xdr:from>
    <xdr:to>
      <xdr:col>18</xdr:col>
      <xdr:colOff>426720</xdr:colOff>
      <xdr:row>15</xdr:row>
      <xdr:rowOff>26670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A43F122-2374-143E-26CF-EF989D63F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198120</xdr:colOff>
      <xdr:row>0</xdr:row>
      <xdr:rowOff>102870</xdr:rowOff>
    </xdr:from>
    <xdr:to>
      <xdr:col>18</xdr:col>
      <xdr:colOff>502920</xdr:colOff>
      <xdr:row>15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C3A02E-F4E4-FD80-6972-9A82DCCB5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0</xdr:row>
      <xdr:rowOff>57150</xdr:rowOff>
    </xdr:from>
    <xdr:to>
      <xdr:col>18</xdr:col>
      <xdr:colOff>312420</xdr:colOff>
      <xdr:row>15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9F976D4-EA2A-9871-583B-D666BF049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358140</xdr:colOff>
      <xdr:row>0</xdr:row>
      <xdr:rowOff>0</xdr:rowOff>
    </xdr:from>
    <xdr:to>
      <xdr:col>18</xdr:col>
      <xdr:colOff>53340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1372D8-4DBF-5E4B-1300-A5A496E8E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274320</xdr:colOff>
      <xdr:row>0</xdr:row>
      <xdr:rowOff>72390</xdr:rowOff>
    </xdr:from>
    <xdr:to>
      <xdr:col>17</xdr:col>
      <xdr:colOff>579120</xdr:colOff>
      <xdr:row>15</xdr:row>
      <xdr:rowOff>72390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135EAC-BBD7-1D0D-77C9-DFBC5AF71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0</xdr:row>
      <xdr:rowOff>0</xdr:rowOff>
    </xdr:from>
    <xdr:to>
      <xdr:col>18</xdr:col>
      <xdr:colOff>114300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B3D988-B280-B6C5-C4DB-CFB89D94D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327660</xdr:colOff>
      <xdr:row>0</xdr:row>
      <xdr:rowOff>102870</xdr:rowOff>
    </xdr:from>
    <xdr:to>
      <xdr:col>18</xdr:col>
      <xdr:colOff>22860</xdr:colOff>
      <xdr:row>15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611DDC0-7940-244C-AABF-C956EDECE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0</xdr:row>
      <xdr:rowOff>11430</xdr:rowOff>
    </xdr:from>
    <xdr:to>
      <xdr:col>16</xdr:col>
      <xdr:colOff>91440</xdr:colOff>
      <xdr:row>15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9E9A58-F5C6-CAAD-7E9F-FB4B50882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0</xdr:row>
      <xdr:rowOff>0</xdr:rowOff>
    </xdr:from>
    <xdr:to>
      <xdr:col>16</xdr:col>
      <xdr:colOff>327660</xdr:colOff>
      <xdr:row>11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6DBF8C-0DDC-E72C-00B6-1AC09F40A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13</xdr:row>
      <xdr:rowOff>118110</xdr:rowOff>
    </xdr:from>
    <xdr:to>
      <xdr:col>16</xdr:col>
      <xdr:colOff>53340</xdr:colOff>
      <xdr:row>24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4479669-7360-9406-B0BA-D679CF6BF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J13" sqref="J13"/>
    </sheetView>
  </sheetViews>
  <sheetFormatPr defaultRowHeight="14.4" x14ac:dyDescent="0.3"/>
  <cols>
    <col min="1" max="1" width="12.21875" customWidth="1"/>
  </cols>
  <sheetData>
    <row r="1" spans="1:10" x14ac:dyDescent="0.3">
      <c r="A1" s="1" t="s">
        <v>3</v>
      </c>
      <c r="B1">
        <v>10</v>
      </c>
      <c r="C1">
        <v>50</v>
      </c>
      <c r="D1">
        <v>100</v>
      </c>
      <c r="E1">
        <v>250</v>
      </c>
      <c r="F1">
        <v>500</v>
      </c>
      <c r="G1">
        <v>1000</v>
      </c>
      <c r="H1">
        <v>2500</v>
      </c>
      <c r="I1">
        <v>5000</v>
      </c>
      <c r="J1">
        <v>10000</v>
      </c>
    </row>
    <row r="2" spans="1:10" x14ac:dyDescent="0.3">
      <c r="A2" s="1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3">
      <c r="A3" s="1" t="s">
        <v>1</v>
      </c>
    </row>
    <row r="4" spans="1:10" x14ac:dyDescent="0.3">
      <c r="A4" s="1" t="s">
        <v>5</v>
      </c>
      <c r="B4">
        <f>B3/B2</f>
        <v>0</v>
      </c>
      <c r="C4">
        <f t="shared" ref="C4:J4" si="0">C3/C2</f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x14ac:dyDescent="0.3">
      <c r="A5" s="1" t="s">
        <v>2</v>
      </c>
      <c r="B5" t="e">
        <f t="shared" ref="B5:J5" si="1">B4/$B$6</f>
        <v>#DIV/0!</v>
      </c>
      <c r="C5" t="e">
        <f t="shared" si="1"/>
        <v>#DIV/0!</v>
      </c>
      <c r="D5" t="e">
        <f t="shared" si="1"/>
        <v>#DIV/0!</v>
      </c>
      <c r="E5" t="e">
        <f t="shared" si="1"/>
        <v>#DIV/0!</v>
      </c>
      <c r="F5" t="e">
        <f t="shared" si="1"/>
        <v>#DIV/0!</v>
      </c>
      <c r="G5" t="e">
        <f t="shared" si="1"/>
        <v>#DIV/0!</v>
      </c>
      <c r="H5" t="e">
        <f t="shared" si="1"/>
        <v>#DIV/0!</v>
      </c>
      <c r="I5" t="e">
        <f t="shared" si="1"/>
        <v>#DIV/0!</v>
      </c>
      <c r="J5" t="e">
        <f t="shared" si="1"/>
        <v>#DIV/0!</v>
      </c>
    </row>
    <row r="6" spans="1:10" x14ac:dyDescent="0.3">
      <c r="A6" s="1" t="s">
        <v>4</v>
      </c>
      <c r="B6">
        <f>MAX(B4:J4)</f>
        <v>0</v>
      </c>
    </row>
    <row r="8" spans="1:10" x14ac:dyDescent="0.3">
      <c r="A8" s="1" t="s">
        <v>7</v>
      </c>
    </row>
    <row r="9" spans="1:10" x14ac:dyDescent="0.3">
      <c r="A9" s="1" t="s">
        <v>3</v>
      </c>
      <c r="B9">
        <v>10</v>
      </c>
      <c r="C9">
        <v>50</v>
      </c>
      <c r="D9">
        <v>100</v>
      </c>
      <c r="E9">
        <v>250</v>
      </c>
      <c r="F9">
        <v>500</v>
      </c>
      <c r="G9">
        <v>1000</v>
      </c>
      <c r="H9">
        <v>2500</v>
      </c>
      <c r="I9">
        <v>5000</v>
      </c>
      <c r="J9">
        <v>10000</v>
      </c>
    </row>
    <row r="10" spans="1:10" x14ac:dyDescent="0.3">
      <c r="A10" s="1" t="s">
        <v>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</row>
    <row r="11" spans="1:10" x14ac:dyDescent="0.3">
      <c r="A11" s="1" t="s">
        <v>1</v>
      </c>
    </row>
    <row r="12" spans="1:10" x14ac:dyDescent="0.3">
      <c r="A12" s="1" t="s">
        <v>5</v>
      </c>
      <c r="B12">
        <f>B11/B10</f>
        <v>0</v>
      </c>
      <c r="C12">
        <f t="shared" ref="C12:J12" si="2">C11/C10</f>
        <v>0</v>
      </c>
      <c r="D12">
        <f t="shared" si="2"/>
        <v>0</v>
      </c>
      <c r="E12">
        <f t="shared" si="2"/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</row>
    <row r="13" spans="1:10" x14ac:dyDescent="0.3">
      <c r="A13" s="1" t="s">
        <v>2</v>
      </c>
      <c r="B13" t="e">
        <f t="shared" ref="B13:I13" si="3">B12/$B$14</f>
        <v>#DIV/0!</v>
      </c>
      <c r="C13" t="e">
        <f t="shared" si="3"/>
        <v>#DIV/0!</v>
      </c>
      <c r="D13" t="e">
        <f t="shared" si="3"/>
        <v>#DIV/0!</v>
      </c>
      <c r="E13" t="e">
        <f t="shared" si="3"/>
        <v>#DIV/0!</v>
      </c>
      <c r="F13" t="e">
        <f t="shared" si="3"/>
        <v>#DIV/0!</v>
      </c>
      <c r="G13" t="e">
        <f t="shared" si="3"/>
        <v>#DIV/0!</v>
      </c>
      <c r="H13" t="e">
        <f t="shared" si="3"/>
        <v>#DIV/0!</v>
      </c>
      <c r="I13" t="e">
        <f t="shared" si="3"/>
        <v>#DIV/0!</v>
      </c>
      <c r="J13" t="e">
        <f>J12/$B$14</f>
        <v>#DIV/0!</v>
      </c>
    </row>
    <row r="14" spans="1:10" x14ac:dyDescent="0.3">
      <c r="A14" s="1" t="s">
        <v>4</v>
      </c>
      <c r="B14">
        <f>MAX(B12:J12)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DF5E-5F3F-447A-B779-3CC3620FBFEC}">
  <dimension ref="A1:J20"/>
  <sheetViews>
    <sheetView workbookViewId="0">
      <selection activeCell="W14" sqref="W14"/>
    </sheetView>
  </sheetViews>
  <sheetFormatPr defaultRowHeight="14.4" x14ac:dyDescent="0.3"/>
  <cols>
    <col min="1" max="1" width="12.44140625" customWidth="1"/>
  </cols>
  <sheetData>
    <row r="1" spans="1:10" x14ac:dyDescent="0.3">
      <c r="A1" t="s">
        <v>6</v>
      </c>
    </row>
    <row r="2" spans="1:10" x14ac:dyDescent="0.3">
      <c r="A2" s="1" t="s">
        <v>3</v>
      </c>
      <c r="B2">
        <v>10</v>
      </c>
      <c r="C2">
        <v>50</v>
      </c>
      <c r="D2">
        <v>100</v>
      </c>
      <c r="E2">
        <v>250</v>
      </c>
      <c r="F2">
        <v>500</v>
      </c>
      <c r="G2">
        <v>1000</v>
      </c>
      <c r="H2">
        <v>2500</v>
      </c>
      <c r="I2">
        <v>5000</v>
      </c>
      <c r="J2">
        <v>10000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6.2E-2</v>
      </c>
      <c r="C4">
        <v>0.314</v>
      </c>
      <c r="D4">
        <v>0.628</v>
      </c>
      <c r="E4">
        <v>1.571</v>
      </c>
      <c r="F4">
        <v>3.14</v>
      </c>
      <c r="G4">
        <v>6.2729999999999997</v>
      </c>
      <c r="H4">
        <v>15.548999999999999</v>
      </c>
      <c r="I4">
        <v>30.198</v>
      </c>
      <c r="J4">
        <v>53.694000000000003</v>
      </c>
    </row>
    <row r="5" spans="1:10" x14ac:dyDescent="0.3">
      <c r="A5" s="1" t="s">
        <v>5</v>
      </c>
      <c r="B5">
        <f>B4/B3</f>
        <v>6.2E-4</v>
      </c>
      <c r="C5">
        <f t="shared" ref="C5:J5" si="0">C4/C3</f>
        <v>3.14E-3</v>
      </c>
      <c r="D5">
        <f>D4/D3</f>
        <v>6.28E-3</v>
      </c>
      <c r="E5">
        <f>E4/E3</f>
        <v>1.5709999999999998E-2</v>
      </c>
      <c r="F5">
        <f t="shared" si="0"/>
        <v>3.1400000000000004E-2</v>
      </c>
      <c r="G5">
        <f t="shared" si="0"/>
        <v>6.2729999999999994E-2</v>
      </c>
      <c r="H5">
        <f t="shared" si="0"/>
        <v>0.15548999999999999</v>
      </c>
      <c r="I5">
        <f t="shared" si="0"/>
        <v>0.30198000000000003</v>
      </c>
      <c r="J5">
        <f t="shared" si="0"/>
        <v>0.53693999999999997</v>
      </c>
    </row>
    <row r="6" spans="1:10" x14ac:dyDescent="0.3">
      <c r="A6" s="1" t="s">
        <v>2</v>
      </c>
      <c r="B6">
        <f t="shared" ref="B6:J6" si="1">B5/$B$7</f>
        <v>1.15469139941148E-3</v>
      </c>
      <c r="C6">
        <f t="shared" si="1"/>
        <v>5.8479532163742695E-3</v>
      </c>
      <c r="D6">
        <f t="shared" si="1"/>
        <v>1.1695906432748539E-2</v>
      </c>
      <c r="E6">
        <f t="shared" si="1"/>
        <v>2.9258390136700559E-2</v>
      </c>
      <c r="F6">
        <f t="shared" si="1"/>
        <v>5.8479532163742701E-2</v>
      </c>
      <c r="G6">
        <f t="shared" si="1"/>
        <v>0.11682869594368085</v>
      </c>
      <c r="H6">
        <f t="shared" si="1"/>
        <v>0.28958542853950159</v>
      </c>
      <c r="I6">
        <f t="shared" si="1"/>
        <v>0.56240920773270764</v>
      </c>
      <c r="J6">
        <f t="shared" si="1"/>
        <v>1</v>
      </c>
    </row>
    <row r="7" spans="1:10" x14ac:dyDescent="0.3">
      <c r="A7" s="1" t="s">
        <v>4</v>
      </c>
      <c r="B7">
        <f>MAX(B5:J5)</f>
        <v>0.53693999999999997</v>
      </c>
    </row>
    <row r="8" spans="1:10" x14ac:dyDescent="0.3">
      <c r="A8" s="1"/>
    </row>
    <row r="9" spans="1:10" x14ac:dyDescent="0.3">
      <c r="A9" s="1" t="s">
        <v>7</v>
      </c>
    </row>
    <row r="10" spans="1:10" x14ac:dyDescent="0.3">
      <c r="A10" s="1" t="s">
        <v>3</v>
      </c>
      <c r="B10">
        <v>10</v>
      </c>
      <c r="C10">
        <v>50</v>
      </c>
      <c r="D10">
        <v>100</v>
      </c>
      <c r="E10">
        <v>250</v>
      </c>
      <c r="F10">
        <v>500</v>
      </c>
      <c r="G10">
        <v>1000</v>
      </c>
      <c r="H10">
        <v>2500</v>
      </c>
      <c r="I10">
        <v>5000</v>
      </c>
      <c r="J10">
        <v>10000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3">
      <c r="A12" s="1" t="s">
        <v>1</v>
      </c>
      <c r="B12">
        <v>0.126</v>
      </c>
      <c r="C12">
        <v>0.628</v>
      </c>
      <c r="D12">
        <v>1.2569999999999999</v>
      </c>
      <c r="E12">
        <v>3.14</v>
      </c>
      <c r="F12">
        <v>6.2709999999999999</v>
      </c>
      <c r="G12">
        <v>12.472</v>
      </c>
      <c r="H12">
        <v>30.027999999999999</v>
      </c>
      <c r="I12">
        <v>53.517000000000003</v>
      </c>
      <c r="J12">
        <v>78.635000000000005</v>
      </c>
    </row>
    <row r="13" spans="1:10" x14ac:dyDescent="0.3">
      <c r="A13" s="1" t="s">
        <v>5</v>
      </c>
      <c r="B13">
        <f>B12/B11</f>
        <v>1.2600000000000001E-3</v>
      </c>
      <c r="C13">
        <f t="shared" ref="C13" si="2">C12/C11</f>
        <v>6.28E-3</v>
      </c>
      <c r="D13">
        <f t="shared" ref="D13" si="3">D12/D11</f>
        <v>1.257E-2</v>
      </c>
      <c r="E13">
        <f t="shared" ref="E13" si="4">E12/E11</f>
        <v>3.1400000000000004E-2</v>
      </c>
      <c r="F13">
        <f t="shared" ref="F13" si="5">F12/F11</f>
        <v>6.2710000000000002E-2</v>
      </c>
      <c r="G13">
        <f t="shared" ref="G13" si="6">G12/G11</f>
        <v>0.12472</v>
      </c>
      <c r="H13">
        <f t="shared" ref="H13" si="7">H12/H11</f>
        <v>0.30027999999999999</v>
      </c>
      <c r="I13">
        <f t="shared" ref="I13" si="8">I12/I11</f>
        <v>0.53517000000000003</v>
      </c>
      <c r="J13">
        <f t="shared" ref="J13" si="9">J12/J11</f>
        <v>0.7863500000000001</v>
      </c>
    </row>
    <row r="14" spans="1:10" x14ac:dyDescent="0.3">
      <c r="A14" s="1" t="s">
        <v>2</v>
      </c>
      <c r="B14">
        <f t="shared" ref="B14:I14" si="10">B13/$B$15</f>
        <v>1.6023399249697971E-3</v>
      </c>
      <c r="C14">
        <f t="shared" si="10"/>
        <v>7.9862656577859726E-3</v>
      </c>
      <c r="D14">
        <f t="shared" si="10"/>
        <v>1.5985248299103451E-2</v>
      </c>
      <c r="E14">
        <f t="shared" si="10"/>
        <v>3.9931328288929868E-2</v>
      </c>
      <c r="F14">
        <f t="shared" si="10"/>
        <v>7.9748203726076161E-2</v>
      </c>
      <c r="G14">
        <f t="shared" si="10"/>
        <v>0.15860621860494689</v>
      </c>
      <c r="H14">
        <f t="shared" si="10"/>
        <v>0.3818655814840719</v>
      </c>
      <c r="I14">
        <f t="shared" si="10"/>
        <v>0.68057480765562406</v>
      </c>
      <c r="J14">
        <f>J13/$B$15</f>
        <v>1</v>
      </c>
    </row>
    <row r="15" spans="1:10" x14ac:dyDescent="0.3">
      <c r="A15" s="1" t="s">
        <v>4</v>
      </c>
      <c r="B15">
        <f>MAX(B13:J13)</f>
        <v>0.7863500000000001</v>
      </c>
    </row>
    <row r="18" spans="1:10" x14ac:dyDescent="0.3">
      <c r="A18" s="1"/>
      <c r="B18">
        <v>10</v>
      </c>
      <c r="C18">
        <v>50</v>
      </c>
      <c r="D18">
        <v>100</v>
      </c>
      <c r="E18">
        <v>250</v>
      </c>
      <c r="F18">
        <v>500</v>
      </c>
      <c r="G18">
        <v>1000</v>
      </c>
      <c r="H18">
        <v>2500</v>
      </c>
      <c r="I18">
        <v>5000</v>
      </c>
      <c r="J18">
        <v>10000</v>
      </c>
    </row>
    <row r="19" spans="1:10" x14ac:dyDescent="0.3">
      <c r="A19" t="s">
        <v>13</v>
      </c>
      <c r="B19">
        <v>1.15469139941148E-3</v>
      </c>
      <c r="C19">
        <v>5.8479532163742695E-3</v>
      </c>
      <c r="D19">
        <v>1.1695906432748539E-2</v>
      </c>
      <c r="E19">
        <v>2.9258390136700559E-2</v>
      </c>
      <c r="F19">
        <v>5.8479532163742701E-2</v>
      </c>
      <c r="G19">
        <v>0.11682869594368085</v>
      </c>
      <c r="H19">
        <v>0.28958542853950159</v>
      </c>
      <c r="I19">
        <v>0.56240920773270764</v>
      </c>
      <c r="J19">
        <v>1</v>
      </c>
    </row>
    <row r="20" spans="1:10" x14ac:dyDescent="0.3">
      <c r="A20" t="s">
        <v>12</v>
      </c>
      <c r="B20">
        <v>1.6023399249697971E-3</v>
      </c>
      <c r="C20">
        <v>7.9862656577859726E-3</v>
      </c>
      <c r="D20">
        <v>1.5985248299103451E-2</v>
      </c>
      <c r="E20">
        <v>3.9931328288929868E-2</v>
      </c>
      <c r="F20">
        <v>7.9748203726076161E-2</v>
      </c>
      <c r="G20">
        <v>0.15860621860494689</v>
      </c>
      <c r="H20">
        <v>0.3818655814840719</v>
      </c>
      <c r="I20">
        <v>0.68057480765562406</v>
      </c>
      <c r="J20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BB1F-EB64-4001-94CE-1B7499211863}">
  <dimension ref="A1:J21"/>
  <sheetViews>
    <sheetView workbookViewId="0">
      <selection activeCell="R21" sqref="R21"/>
    </sheetView>
  </sheetViews>
  <sheetFormatPr defaultRowHeight="14.4" x14ac:dyDescent="0.3"/>
  <sheetData>
    <row r="1" spans="1:10" x14ac:dyDescent="0.3">
      <c r="A1" t="s">
        <v>8</v>
      </c>
    </row>
    <row r="2" spans="1:10" x14ac:dyDescent="0.3">
      <c r="A2" s="1" t="s">
        <v>3</v>
      </c>
      <c r="B2">
        <v>10</v>
      </c>
      <c r="C2">
        <v>50</v>
      </c>
      <c r="D2">
        <v>100</v>
      </c>
      <c r="E2">
        <v>250</v>
      </c>
      <c r="F2">
        <v>500</v>
      </c>
      <c r="G2">
        <v>1000</v>
      </c>
      <c r="H2">
        <v>2500</v>
      </c>
      <c r="I2">
        <v>5000</v>
      </c>
      <c r="J2">
        <v>10000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6.3E-2</v>
      </c>
      <c r="C4">
        <v>0.314</v>
      </c>
      <c r="D4">
        <v>0.628</v>
      </c>
      <c r="E4">
        <v>1.571</v>
      </c>
      <c r="F4">
        <v>3.14</v>
      </c>
      <c r="G4">
        <v>6.2729999999999997</v>
      </c>
      <c r="H4">
        <v>15.545</v>
      </c>
      <c r="I4">
        <v>30.17</v>
      </c>
      <c r="J4">
        <v>53.54</v>
      </c>
    </row>
    <row r="5" spans="1:10" x14ac:dyDescent="0.3">
      <c r="A5" s="1" t="s">
        <v>5</v>
      </c>
      <c r="B5">
        <f>B4/B3</f>
        <v>6.3000000000000003E-4</v>
      </c>
      <c r="C5">
        <f t="shared" ref="C5:J5" si="0">C4/C3</f>
        <v>3.14E-3</v>
      </c>
      <c r="D5">
        <f t="shared" si="0"/>
        <v>6.28E-3</v>
      </c>
      <c r="E5">
        <f t="shared" si="0"/>
        <v>1.5709999999999998E-2</v>
      </c>
      <c r="F5">
        <f t="shared" si="0"/>
        <v>3.1400000000000004E-2</v>
      </c>
      <c r="G5">
        <f t="shared" si="0"/>
        <v>6.2729999999999994E-2</v>
      </c>
      <c r="H5">
        <f t="shared" si="0"/>
        <v>0.15545</v>
      </c>
      <c r="I5">
        <f t="shared" si="0"/>
        <v>0.30170000000000002</v>
      </c>
      <c r="J5">
        <f t="shared" si="0"/>
        <v>0.53539999999999999</v>
      </c>
    </row>
    <row r="6" spans="1:10" x14ac:dyDescent="0.3">
      <c r="A6" s="1" t="s">
        <v>2</v>
      </c>
      <c r="B6">
        <f t="shared" ref="B6:J6" si="1">B5/$B$7</f>
        <v>1.1766903249906613E-3</v>
      </c>
      <c r="C6">
        <f t="shared" si="1"/>
        <v>5.8647740007471052E-3</v>
      </c>
      <c r="D6">
        <f t="shared" si="1"/>
        <v>1.172954800149421E-2</v>
      </c>
      <c r="E6">
        <f t="shared" si="1"/>
        <v>2.9342547627941723E-2</v>
      </c>
      <c r="F6">
        <f t="shared" si="1"/>
        <v>5.8647740007471062E-2</v>
      </c>
      <c r="G6">
        <f t="shared" si="1"/>
        <v>0.11716473664549869</v>
      </c>
      <c r="H6">
        <f t="shared" si="1"/>
        <v>0.2903436682853941</v>
      </c>
      <c r="I6">
        <f t="shared" si="1"/>
        <v>0.56350392230108337</v>
      </c>
      <c r="J6">
        <f t="shared" si="1"/>
        <v>1</v>
      </c>
    </row>
    <row r="7" spans="1:10" x14ac:dyDescent="0.3">
      <c r="A7" s="1" t="s">
        <v>4</v>
      </c>
      <c r="B7">
        <f>MAX(B5:J5)</f>
        <v>0.53539999999999999</v>
      </c>
    </row>
    <row r="9" spans="1:10" x14ac:dyDescent="0.3">
      <c r="A9" s="1" t="s">
        <v>9</v>
      </c>
    </row>
    <row r="10" spans="1:10" x14ac:dyDescent="0.3">
      <c r="A10" s="1" t="s">
        <v>3</v>
      </c>
      <c r="B10">
        <v>10</v>
      </c>
      <c r="C10">
        <v>50</v>
      </c>
      <c r="D10">
        <v>100</v>
      </c>
      <c r="E10">
        <v>250</v>
      </c>
      <c r="F10">
        <v>500</v>
      </c>
      <c r="G10">
        <v>1000</v>
      </c>
      <c r="H10">
        <v>2500</v>
      </c>
      <c r="I10">
        <v>5000</v>
      </c>
      <c r="J10">
        <v>10000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3">
      <c r="A12" s="1" t="s">
        <v>1</v>
      </c>
      <c r="B12">
        <v>0.126</v>
      </c>
      <c r="C12">
        <v>0.628</v>
      </c>
      <c r="D12">
        <v>1.2569999999999999</v>
      </c>
      <c r="E12">
        <v>3.14</v>
      </c>
      <c r="F12">
        <v>6.2709999999999999</v>
      </c>
      <c r="G12">
        <v>12.47</v>
      </c>
      <c r="H12">
        <v>30.001000000000001</v>
      </c>
      <c r="I12">
        <v>53.363</v>
      </c>
      <c r="J12">
        <v>78.153000000000006</v>
      </c>
    </row>
    <row r="13" spans="1:10" x14ac:dyDescent="0.3">
      <c r="A13" s="1" t="s">
        <v>5</v>
      </c>
      <c r="B13">
        <f>B12/B11</f>
        <v>1.2600000000000001E-3</v>
      </c>
      <c r="C13">
        <f t="shared" ref="C13:J13" si="2">C12/C11</f>
        <v>6.28E-3</v>
      </c>
      <c r="D13">
        <f t="shared" si="2"/>
        <v>1.257E-2</v>
      </c>
      <c r="E13">
        <f t="shared" si="2"/>
        <v>3.1400000000000004E-2</v>
      </c>
      <c r="F13">
        <f t="shared" si="2"/>
        <v>6.2710000000000002E-2</v>
      </c>
      <c r="G13">
        <f t="shared" si="2"/>
        <v>0.12470000000000001</v>
      </c>
      <c r="H13">
        <f t="shared" si="2"/>
        <v>0.30001</v>
      </c>
      <c r="I13">
        <f t="shared" si="2"/>
        <v>0.53363000000000005</v>
      </c>
      <c r="J13">
        <f t="shared" si="2"/>
        <v>0.78153000000000006</v>
      </c>
    </row>
    <row r="14" spans="1:10" x14ac:dyDescent="0.3">
      <c r="A14" s="1" t="s">
        <v>2</v>
      </c>
      <c r="B14">
        <f t="shared" ref="B14:I14" si="3">B13/$B$15</f>
        <v>1.6122221795708417E-3</v>
      </c>
      <c r="C14">
        <f t="shared" si="3"/>
        <v>8.0355200696070519E-3</v>
      </c>
      <c r="D14">
        <f t="shared" si="3"/>
        <v>1.6083835553337682E-2</v>
      </c>
      <c r="E14">
        <f t="shared" si="3"/>
        <v>4.0177600348035268E-2</v>
      </c>
      <c r="F14">
        <f t="shared" si="3"/>
        <v>8.0240041968958328E-2</v>
      </c>
      <c r="G14">
        <f t="shared" si="3"/>
        <v>0.15955881412101902</v>
      </c>
      <c r="H14">
        <f t="shared" si="3"/>
        <v>0.38387521912146683</v>
      </c>
      <c r="I14">
        <f t="shared" si="3"/>
        <v>0.68280168387649864</v>
      </c>
      <c r="J14">
        <f>J13/$B$15</f>
        <v>1</v>
      </c>
    </row>
    <row r="15" spans="1:10" x14ac:dyDescent="0.3">
      <c r="A15" s="1" t="s">
        <v>4</v>
      </c>
      <c r="B15">
        <f>MAX(B13:J13)</f>
        <v>0.78153000000000006</v>
      </c>
    </row>
    <row r="19" spans="1:10" x14ac:dyDescent="0.3">
      <c r="A19" s="1"/>
      <c r="B19">
        <v>10</v>
      </c>
      <c r="C19">
        <v>50</v>
      </c>
      <c r="D19">
        <v>100</v>
      </c>
      <c r="E19">
        <v>250</v>
      </c>
      <c r="F19">
        <v>500</v>
      </c>
      <c r="G19">
        <v>1000</v>
      </c>
      <c r="H19">
        <v>2500</v>
      </c>
      <c r="I19">
        <v>5000</v>
      </c>
      <c r="J19">
        <v>10000</v>
      </c>
    </row>
    <row r="20" spans="1:10" x14ac:dyDescent="0.3">
      <c r="A20" t="s">
        <v>14</v>
      </c>
      <c r="B20">
        <v>6.3000000000000003E-4</v>
      </c>
      <c r="C20">
        <v>3.14E-3</v>
      </c>
      <c r="D20">
        <v>6.28E-3</v>
      </c>
      <c r="E20">
        <v>1.5709999999999998E-2</v>
      </c>
      <c r="F20">
        <v>3.1400000000000004E-2</v>
      </c>
      <c r="G20">
        <v>6.2729999999999994E-2</v>
      </c>
      <c r="H20">
        <v>0.15545</v>
      </c>
      <c r="I20">
        <v>0.30170000000000002</v>
      </c>
      <c r="J20">
        <v>0.53539999999999999</v>
      </c>
    </row>
    <row r="21" spans="1:10" x14ac:dyDescent="0.3">
      <c r="A21" t="s">
        <v>15</v>
      </c>
      <c r="B21">
        <v>1.2600000000000001E-3</v>
      </c>
      <c r="C21">
        <v>6.28E-3</v>
      </c>
      <c r="D21">
        <v>1.257E-2</v>
      </c>
      <c r="E21">
        <v>3.1400000000000004E-2</v>
      </c>
      <c r="F21">
        <v>6.2710000000000002E-2</v>
      </c>
      <c r="G21">
        <v>0.12470000000000001</v>
      </c>
      <c r="H21">
        <v>0.30001</v>
      </c>
      <c r="I21">
        <v>0.53363000000000005</v>
      </c>
      <c r="J21">
        <v>0.78153000000000006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AF2E-0E46-49D9-8C1F-4EE015451D03}">
  <dimension ref="A1:J20"/>
  <sheetViews>
    <sheetView workbookViewId="0">
      <selection activeCell="V9" sqref="V9"/>
    </sheetView>
  </sheetViews>
  <sheetFormatPr defaultRowHeight="14.4" x14ac:dyDescent="0.3"/>
  <sheetData>
    <row r="1" spans="1:10" x14ac:dyDescent="0.3">
      <c r="A1" t="s">
        <v>6</v>
      </c>
    </row>
    <row r="2" spans="1:10" x14ac:dyDescent="0.3">
      <c r="A2" s="1" t="s">
        <v>3</v>
      </c>
      <c r="B2">
        <v>100</v>
      </c>
      <c r="C2">
        <v>500</v>
      </c>
      <c r="D2">
        <v>1000</v>
      </c>
      <c r="E2">
        <v>5000</v>
      </c>
      <c r="F2">
        <v>10000</v>
      </c>
      <c r="G2">
        <v>50000</v>
      </c>
      <c r="H2">
        <v>75000</v>
      </c>
      <c r="I2">
        <v>100000</v>
      </c>
      <c r="J2">
        <v>200000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99.007999999999996</v>
      </c>
      <c r="C4">
        <v>98.962000000000003</v>
      </c>
      <c r="D4">
        <v>98.817999999999998</v>
      </c>
      <c r="E4">
        <v>94.47</v>
      </c>
      <c r="F4">
        <v>83.76</v>
      </c>
      <c r="G4">
        <v>29.948</v>
      </c>
      <c r="H4">
        <v>20.492999999999999</v>
      </c>
      <c r="I4">
        <v>15.516</v>
      </c>
      <c r="J4">
        <v>7.8310000000000004</v>
      </c>
    </row>
    <row r="5" spans="1:10" x14ac:dyDescent="0.3">
      <c r="A5" s="1" t="s">
        <v>5</v>
      </c>
      <c r="B5">
        <f>B4/B3</f>
        <v>0.99007999999999996</v>
      </c>
      <c r="C5">
        <f t="shared" ref="C5:J5" si="0">C4/C3</f>
        <v>0.98962000000000006</v>
      </c>
      <c r="D5">
        <f>D4/D3</f>
        <v>0.98817999999999995</v>
      </c>
      <c r="E5">
        <f>E4/E3</f>
        <v>0.94469999999999998</v>
      </c>
      <c r="F5">
        <f t="shared" si="0"/>
        <v>0.83760000000000001</v>
      </c>
      <c r="G5">
        <f t="shared" si="0"/>
        <v>0.29948000000000002</v>
      </c>
      <c r="H5">
        <f t="shared" si="0"/>
        <v>0.20492999999999997</v>
      </c>
      <c r="I5">
        <f t="shared" si="0"/>
        <v>0.15515999999999999</v>
      </c>
      <c r="J5">
        <f t="shared" si="0"/>
        <v>7.8310000000000005E-2</v>
      </c>
    </row>
    <row r="6" spans="1:10" x14ac:dyDescent="0.3">
      <c r="A6" s="1" t="s">
        <v>2</v>
      </c>
      <c r="B6">
        <f t="shared" ref="B6:J6" si="1">B5/$B$7</f>
        <v>1</v>
      </c>
      <c r="C6">
        <f t="shared" si="1"/>
        <v>0.99953539107950884</v>
      </c>
      <c r="D6">
        <f t="shared" si="1"/>
        <v>0.99808096315449257</v>
      </c>
      <c r="E6">
        <f t="shared" si="1"/>
        <v>0.95416531997414356</v>
      </c>
      <c r="F6">
        <f t="shared" si="1"/>
        <v>0.84599224305106657</v>
      </c>
      <c r="G6">
        <f t="shared" si="1"/>
        <v>0.30248060762766649</v>
      </c>
      <c r="H6">
        <f t="shared" si="1"/>
        <v>0.2069832740788623</v>
      </c>
      <c r="I6">
        <f t="shared" si="1"/>
        <v>0.15671460892049127</v>
      </c>
      <c r="J6">
        <f t="shared" si="1"/>
        <v>7.9094618616677451E-2</v>
      </c>
    </row>
    <row r="7" spans="1:10" x14ac:dyDescent="0.3">
      <c r="A7" s="1" t="s">
        <v>4</v>
      </c>
      <c r="B7">
        <f>MAX(B5:J5)</f>
        <v>0.99007999999999996</v>
      </c>
    </row>
    <row r="8" spans="1:10" x14ac:dyDescent="0.3">
      <c r="A8" s="1"/>
    </row>
    <row r="9" spans="1:10" x14ac:dyDescent="0.3">
      <c r="A9" s="1" t="s">
        <v>7</v>
      </c>
    </row>
    <row r="10" spans="1:10" x14ac:dyDescent="0.3">
      <c r="A10" s="1" t="s">
        <v>3</v>
      </c>
      <c r="B10">
        <v>100</v>
      </c>
      <c r="C10">
        <v>500</v>
      </c>
      <c r="D10">
        <v>1000</v>
      </c>
      <c r="E10">
        <v>5000</v>
      </c>
      <c r="F10">
        <v>10000</v>
      </c>
      <c r="G10">
        <v>50000</v>
      </c>
      <c r="H10">
        <v>75000</v>
      </c>
      <c r="I10">
        <v>100000</v>
      </c>
      <c r="J10">
        <v>200000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3">
      <c r="A12" s="1" t="s">
        <v>1</v>
      </c>
      <c r="B12">
        <v>99.003</v>
      </c>
      <c r="C12">
        <v>98.819000000000003</v>
      </c>
      <c r="D12">
        <v>98.251999999999995</v>
      </c>
      <c r="E12">
        <v>83.873000000000005</v>
      </c>
      <c r="F12">
        <v>61.533999999999999</v>
      </c>
      <c r="G12">
        <v>15.516</v>
      </c>
      <c r="H12">
        <v>10.416</v>
      </c>
      <c r="I12">
        <v>7.8310000000000004</v>
      </c>
      <c r="J12">
        <v>3.9239999999999999</v>
      </c>
    </row>
    <row r="13" spans="1:10" x14ac:dyDescent="0.3">
      <c r="A13" s="1" t="s">
        <v>5</v>
      </c>
      <c r="B13">
        <f>B12/B11</f>
        <v>0.99002999999999997</v>
      </c>
      <c r="C13">
        <f t="shared" ref="C13:J13" si="2">C12/C11</f>
        <v>0.98819000000000001</v>
      </c>
      <c r="D13">
        <f t="shared" si="2"/>
        <v>0.98251999999999995</v>
      </c>
      <c r="E13">
        <f t="shared" si="2"/>
        <v>0.83873000000000009</v>
      </c>
      <c r="F13">
        <f t="shared" si="2"/>
        <v>0.61534</v>
      </c>
      <c r="G13">
        <f t="shared" si="2"/>
        <v>0.15515999999999999</v>
      </c>
      <c r="H13">
        <f t="shared" si="2"/>
        <v>0.10416</v>
      </c>
      <c r="I13">
        <f t="shared" si="2"/>
        <v>7.8310000000000005E-2</v>
      </c>
      <c r="J13">
        <f t="shared" si="2"/>
        <v>3.9239999999999997E-2</v>
      </c>
    </row>
    <row r="14" spans="1:10" x14ac:dyDescent="0.3">
      <c r="A14" s="1" t="s">
        <v>2</v>
      </c>
      <c r="B14">
        <f t="shared" ref="B14:I14" si="3">B13/$B$15</f>
        <v>1</v>
      </c>
      <c r="C14">
        <f t="shared" si="3"/>
        <v>0.99814147046049118</v>
      </c>
      <c r="D14">
        <f t="shared" si="3"/>
        <v>0.99241437128167831</v>
      </c>
      <c r="E14">
        <f t="shared" si="3"/>
        <v>0.84717634819146903</v>
      </c>
      <c r="F14">
        <f t="shared" si="3"/>
        <v>0.62153672110946134</v>
      </c>
      <c r="G14">
        <f t="shared" si="3"/>
        <v>0.15672252355989214</v>
      </c>
      <c r="H14">
        <f t="shared" si="3"/>
        <v>0.10520893306263447</v>
      </c>
      <c r="I14">
        <f t="shared" si="3"/>
        <v>7.9098613173338189E-2</v>
      </c>
      <c r="J14">
        <f>J13/$B$15</f>
        <v>3.9635162570831182E-2</v>
      </c>
    </row>
    <row r="15" spans="1:10" x14ac:dyDescent="0.3">
      <c r="A15" s="1" t="s">
        <v>4</v>
      </c>
      <c r="B15">
        <f>MAX(B13:J13)</f>
        <v>0.99002999999999997</v>
      </c>
    </row>
    <row r="17" spans="1:10" x14ac:dyDescent="0.3">
      <c r="A17" t="s">
        <v>16</v>
      </c>
    </row>
    <row r="18" spans="1:10" x14ac:dyDescent="0.3">
      <c r="B18">
        <v>100</v>
      </c>
      <c r="C18">
        <v>500</v>
      </c>
      <c r="D18">
        <v>1000</v>
      </c>
      <c r="E18">
        <v>5000</v>
      </c>
      <c r="F18">
        <v>10000</v>
      </c>
      <c r="G18">
        <v>50000</v>
      </c>
      <c r="H18">
        <v>75000</v>
      </c>
      <c r="I18">
        <v>100000</v>
      </c>
      <c r="J18">
        <v>200000</v>
      </c>
    </row>
    <row r="19" spans="1:10" x14ac:dyDescent="0.3">
      <c r="A19" t="s">
        <v>13</v>
      </c>
      <c r="B19">
        <v>0.99007999999999996</v>
      </c>
      <c r="C19">
        <v>0.98962000000000006</v>
      </c>
      <c r="D19">
        <v>0.98817999999999995</v>
      </c>
      <c r="E19">
        <v>0.94469999999999998</v>
      </c>
      <c r="F19">
        <v>0.83760000000000001</v>
      </c>
      <c r="G19">
        <v>0.29948000000000002</v>
      </c>
      <c r="H19">
        <v>0.20492999999999997</v>
      </c>
      <c r="I19">
        <v>0.15515999999999999</v>
      </c>
      <c r="J19">
        <v>7.8310000000000005E-2</v>
      </c>
    </row>
    <row r="20" spans="1:10" x14ac:dyDescent="0.3">
      <c r="A20" t="s">
        <v>12</v>
      </c>
      <c r="B20">
        <v>0.99002999999999997</v>
      </c>
      <c r="C20">
        <v>0.98819000000000001</v>
      </c>
      <c r="D20">
        <v>0.98251999999999995</v>
      </c>
      <c r="E20">
        <v>0.83873000000000009</v>
      </c>
      <c r="F20">
        <v>0.61534</v>
      </c>
      <c r="G20">
        <v>0.15515999999999999</v>
      </c>
      <c r="H20">
        <v>0.10416</v>
      </c>
      <c r="I20">
        <v>7.8310000000000005E-2</v>
      </c>
      <c r="J20">
        <v>3.9239999999999997E-2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8275-1C08-468A-AE18-366BD1567C47}">
  <dimension ref="A1:J21"/>
  <sheetViews>
    <sheetView workbookViewId="0">
      <selection activeCell="R20" sqref="R20"/>
    </sheetView>
  </sheetViews>
  <sheetFormatPr defaultRowHeight="14.4" x14ac:dyDescent="0.3"/>
  <sheetData>
    <row r="1" spans="1:10" x14ac:dyDescent="0.3">
      <c r="A1" t="s">
        <v>8</v>
      </c>
    </row>
    <row r="2" spans="1:10" x14ac:dyDescent="0.3">
      <c r="A2" s="1" t="s">
        <v>3</v>
      </c>
      <c r="B2">
        <v>100</v>
      </c>
      <c r="C2">
        <v>500</v>
      </c>
      <c r="D2">
        <v>1000</v>
      </c>
      <c r="E2">
        <v>5000</v>
      </c>
      <c r="F2">
        <v>10000</v>
      </c>
      <c r="G2">
        <v>50000</v>
      </c>
      <c r="H2">
        <v>75000</v>
      </c>
      <c r="I2">
        <v>100000</v>
      </c>
      <c r="J2">
        <v>200000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99.998000000000005</v>
      </c>
      <c r="C4">
        <v>99.950999999999993</v>
      </c>
      <c r="D4">
        <v>99.802999999999997</v>
      </c>
      <c r="E4">
        <v>95.33</v>
      </c>
      <c r="F4">
        <v>84.356999999999999</v>
      </c>
      <c r="G4">
        <v>29.975000000000001</v>
      </c>
      <c r="H4">
        <v>20.501000000000001</v>
      </c>
      <c r="I4">
        <v>15.519</v>
      </c>
      <c r="J4">
        <v>7.8310000000000004</v>
      </c>
    </row>
    <row r="5" spans="1:10" x14ac:dyDescent="0.3">
      <c r="A5" s="1" t="s">
        <v>5</v>
      </c>
      <c r="B5">
        <f>B4/B3</f>
        <v>0.99998000000000009</v>
      </c>
      <c r="C5">
        <f t="shared" ref="C5:J5" si="0">C4/C3</f>
        <v>0.9995099999999999</v>
      </c>
      <c r="D5">
        <f t="shared" si="0"/>
        <v>0.99802999999999997</v>
      </c>
      <c r="E5">
        <f t="shared" si="0"/>
        <v>0.95330000000000004</v>
      </c>
      <c r="F5">
        <f t="shared" si="0"/>
        <v>0.84357000000000004</v>
      </c>
      <c r="G5">
        <f t="shared" si="0"/>
        <v>0.29975000000000002</v>
      </c>
      <c r="H5">
        <f t="shared" si="0"/>
        <v>0.20501000000000003</v>
      </c>
      <c r="I5">
        <f t="shared" si="0"/>
        <v>0.15518999999999999</v>
      </c>
      <c r="J5">
        <f t="shared" si="0"/>
        <v>7.8310000000000005E-2</v>
      </c>
    </row>
    <row r="6" spans="1:10" x14ac:dyDescent="0.3">
      <c r="A6" s="1" t="s">
        <v>2</v>
      </c>
      <c r="B6">
        <f t="shared" ref="B6:J6" si="1">B5/$B$7</f>
        <v>1</v>
      </c>
      <c r="C6">
        <f t="shared" si="1"/>
        <v>0.99952999059981185</v>
      </c>
      <c r="D6">
        <f t="shared" si="1"/>
        <v>0.99804996099921983</v>
      </c>
      <c r="E6">
        <f t="shared" si="1"/>
        <v>0.95331906638132757</v>
      </c>
      <c r="F6">
        <f t="shared" si="1"/>
        <v>0.84358687173743474</v>
      </c>
      <c r="G6">
        <f t="shared" si="1"/>
        <v>0.29975599511990236</v>
      </c>
      <c r="H6">
        <f t="shared" si="1"/>
        <v>0.20501410028200565</v>
      </c>
      <c r="I6">
        <f t="shared" si="1"/>
        <v>0.15519310386207721</v>
      </c>
      <c r="J6">
        <f t="shared" si="1"/>
        <v>7.8311566231324625E-2</v>
      </c>
    </row>
    <row r="7" spans="1:10" x14ac:dyDescent="0.3">
      <c r="A7" s="1" t="s">
        <v>4</v>
      </c>
      <c r="B7">
        <f>MAX(B5:J5)</f>
        <v>0.99998000000000009</v>
      </c>
    </row>
    <row r="9" spans="1:10" x14ac:dyDescent="0.3">
      <c r="A9" s="1" t="s">
        <v>9</v>
      </c>
    </row>
    <row r="10" spans="1:10" x14ac:dyDescent="0.3">
      <c r="A10" s="1" t="s">
        <v>3</v>
      </c>
      <c r="B10">
        <v>100</v>
      </c>
      <c r="C10">
        <v>500</v>
      </c>
      <c r="D10">
        <v>1000</v>
      </c>
      <c r="E10">
        <v>5000</v>
      </c>
      <c r="F10">
        <v>10000</v>
      </c>
      <c r="G10">
        <v>50000</v>
      </c>
      <c r="H10">
        <v>75000</v>
      </c>
      <c r="I10">
        <v>100000</v>
      </c>
      <c r="J10">
        <v>200000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3">
      <c r="A12" s="1" t="s">
        <v>1</v>
      </c>
      <c r="B12">
        <v>99.992000000000004</v>
      </c>
      <c r="C12">
        <v>99.802999999999997</v>
      </c>
      <c r="D12">
        <v>99.218999999999994</v>
      </c>
      <c r="E12">
        <v>84.472999999999999</v>
      </c>
      <c r="F12">
        <v>61.768000000000001</v>
      </c>
      <c r="G12">
        <v>15.52</v>
      </c>
      <c r="H12">
        <v>10.417</v>
      </c>
      <c r="I12">
        <v>7.835</v>
      </c>
      <c r="J12">
        <v>3.927</v>
      </c>
    </row>
    <row r="13" spans="1:10" x14ac:dyDescent="0.3">
      <c r="A13" s="1" t="s">
        <v>5</v>
      </c>
      <c r="B13">
        <f>B12/B11</f>
        <v>0.99992000000000003</v>
      </c>
      <c r="C13">
        <f t="shared" ref="C13:J13" si="2">C12/C11</f>
        <v>0.99802999999999997</v>
      </c>
      <c r="D13">
        <f t="shared" si="2"/>
        <v>0.99218999999999991</v>
      </c>
      <c r="E13">
        <f t="shared" si="2"/>
        <v>0.84472999999999998</v>
      </c>
      <c r="F13">
        <f t="shared" si="2"/>
        <v>0.61768000000000001</v>
      </c>
      <c r="G13">
        <f t="shared" si="2"/>
        <v>0.1552</v>
      </c>
      <c r="H13">
        <f t="shared" si="2"/>
        <v>0.10417</v>
      </c>
      <c r="I13">
        <f t="shared" si="2"/>
        <v>7.8350000000000003E-2</v>
      </c>
      <c r="J13">
        <f t="shared" si="2"/>
        <v>3.9269999999999999E-2</v>
      </c>
    </row>
    <row r="14" spans="1:10" x14ac:dyDescent="0.3">
      <c r="A14" s="1" t="s">
        <v>2</v>
      </c>
      <c r="B14">
        <f t="shared" ref="B14:I14" si="3">B13/$B$15</f>
        <v>1</v>
      </c>
      <c r="C14">
        <f t="shared" si="3"/>
        <v>0.99810984878790299</v>
      </c>
      <c r="D14">
        <f t="shared" si="3"/>
        <v>0.99226938155052391</v>
      </c>
      <c r="E14">
        <f t="shared" si="3"/>
        <v>0.84479758380670444</v>
      </c>
      <c r="F14">
        <f t="shared" si="3"/>
        <v>0.61772941835346828</v>
      </c>
      <c r="G14">
        <f t="shared" si="3"/>
        <v>0.15521241699335947</v>
      </c>
      <c r="H14">
        <f t="shared" si="3"/>
        <v>0.10417833426674133</v>
      </c>
      <c r="I14">
        <f t="shared" si="3"/>
        <v>7.8356268501480114E-2</v>
      </c>
      <c r="J14">
        <f>J13/$B$15</f>
        <v>3.9273141851348108E-2</v>
      </c>
    </row>
    <row r="15" spans="1:10" x14ac:dyDescent="0.3">
      <c r="A15" s="1" t="s">
        <v>4</v>
      </c>
      <c r="B15">
        <f>MAX(B13:J13)</f>
        <v>0.99992000000000003</v>
      </c>
    </row>
    <row r="19" spans="1:10" x14ac:dyDescent="0.3">
      <c r="B19">
        <v>100</v>
      </c>
      <c r="C19">
        <v>500</v>
      </c>
      <c r="D19">
        <v>1000</v>
      </c>
      <c r="E19">
        <v>5000</v>
      </c>
      <c r="F19">
        <v>10000</v>
      </c>
      <c r="G19">
        <v>50000</v>
      </c>
      <c r="H19">
        <v>75000</v>
      </c>
      <c r="I19">
        <v>100000</v>
      </c>
      <c r="J19">
        <v>200000</v>
      </c>
    </row>
    <row r="20" spans="1:10" x14ac:dyDescent="0.3">
      <c r="A20" t="s">
        <v>14</v>
      </c>
      <c r="B20">
        <v>0.99998000000000009</v>
      </c>
      <c r="C20">
        <v>0.9995099999999999</v>
      </c>
      <c r="D20">
        <v>0.99802999999999997</v>
      </c>
      <c r="E20">
        <v>0.95330000000000004</v>
      </c>
      <c r="F20">
        <v>0.84357000000000004</v>
      </c>
      <c r="G20">
        <v>0.29975000000000002</v>
      </c>
      <c r="H20">
        <v>0.20501000000000003</v>
      </c>
      <c r="I20">
        <v>0.15518999999999999</v>
      </c>
      <c r="J20">
        <v>7.8310000000000005E-2</v>
      </c>
    </row>
    <row r="21" spans="1:10" x14ac:dyDescent="0.3">
      <c r="A21" t="s">
        <v>15</v>
      </c>
      <c r="B21">
        <v>0.99992000000000003</v>
      </c>
      <c r="C21">
        <v>0.99802999999999997</v>
      </c>
      <c r="D21">
        <v>0.99218999999999991</v>
      </c>
      <c r="E21">
        <v>0.84472999999999998</v>
      </c>
      <c r="F21">
        <v>0.61768000000000001</v>
      </c>
      <c r="G21">
        <v>0.1552</v>
      </c>
      <c r="H21">
        <v>0.10417</v>
      </c>
      <c r="I21">
        <v>7.8350000000000003E-2</v>
      </c>
      <c r="J21">
        <v>3.9269999999999999E-2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57DA-DB2A-467D-8D3E-6E06626D6113}">
  <dimension ref="A1:J20"/>
  <sheetViews>
    <sheetView workbookViewId="0">
      <selection activeCell="M22" sqref="M22"/>
    </sheetView>
  </sheetViews>
  <sheetFormatPr defaultRowHeight="14.4" x14ac:dyDescent="0.3"/>
  <sheetData>
    <row r="1" spans="1:10" x14ac:dyDescent="0.3">
      <c r="A1" t="s">
        <v>6</v>
      </c>
    </row>
    <row r="2" spans="1:10" x14ac:dyDescent="0.3">
      <c r="A2" s="1" t="s">
        <v>3</v>
      </c>
      <c r="B2">
        <v>100</v>
      </c>
      <c r="C2">
        <v>250</v>
      </c>
      <c r="D2">
        <v>500</v>
      </c>
      <c r="E2">
        <v>1000</v>
      </c>
      <c r="F2">
        <v>2500</v>
      </c>
      <c r="G2">
        <v>5000</v>
      </c>
      <c r="H2">
        <v>10000</v>
      </c>
      <c r="I2">
        <v>50000</v>
      </c>
      <c r="J2">
        <v>100000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4.0000000000000001E-3</v>
      </c>
      <c r="C4">
        <v>2.5000000000000001E-2</v>
      </c>
      <c r="D4">
        <v>9.8000000000000004E-2</v>
      </c>
      <c r="E4">
        <v>0.38700000000000001</v>
      </c>
      <c r="F4">
        <v>2.2130000000000001</v>
      </c>
      <c r="G4">
        <v>6.9340000000000002</v>
      </c>
      <c r="H4">
        <v>15.856</v>
      </c>
      <c r="I4">
        <v>31.626999999999999</v>
      </c>
      <c r="J4">
        <v>32.883000000000003</v>
      </c>
    </row>
    <row r="5" spans="1:10" x14ac:dyDescent="0.3">
      <c r="A5" s="1" t="s">
        <v>5</v>
      </c>
      <c r="B5">
        <f>B4/B3</f>
        <v>4.0000000000000003E-5</v>
      </c>
      <c r="C5">
        <f>C4/C3</f>
        <v>2.5000000000000001E-4</v>
      </c>
      <c r="D5">
        <f>D4/D3</f>
        <v>9.7999999999999997E-4</v>
      </c>
      <c r="E5">
        <f>E4/E3</f>
        <v>3.8700000000000002E-3</v>
      </c>
      <c r="F5">
        <f t="shared" ref="F5:J5" si="0">F4/F3</f>
        <v>2.213E-2</v>
      </c>
      <c r="G5">
        <f t="shared" si="0"/>
        <v>6.9339999999999999E-2</v>
      </c>
      <c r="H5">
        <f t="shared" si="0"/>
        <v>0.15856000000000001</v>
      </c>
      <c r="I5">
        <f t="shared" si="0"/>
        <v>0.31627</v>
      </c>
      <c r="J5">
        <f t="shared" si="0"/>
        <v>0.32883000000000001</v>
      </c>
    </row>
    <row r="6" spans="1:10" x14ac:dyDescent="0.3">
      <c r="A6" s="1" t="s">
        <v>2</v>
      </c>
      <c r="B6">
        <f t="shared" ref="B6:J6" si="1">B5/$B$7</f>
        <v>1.2164340236596418E-4</v>
      </c>
      <c r="C6">
        <f t="shared" si="1"/>
        <v>7.6027126478727606E-4</v>
      </c>
      <c r="D6">
        <f t="shared" si="1"/>
        <v>2.9802633579661219E-3</v>
      </c>
      <c r="E6">
        <f t="shared" si="1"/>
        <v>1.1768999178907034E-2</v>
      </c>
      <c r="F6">
        <f t="shared" si="1"/>
        <v>6.7299212358969684E-2</v>
      </c>
      <c r="G6">
        <f t="shared" si="1"/>
        <v>0.21086883800139888</v>
      </c>
      <c r="H6">
        <f t="shared" si="1"/>
        <v>0.48219444697868202</v>
      </c>
      <c r="I6">
        <f t="shared" si="1"/>
        <v>0.9618039716570872</v>
      </c>
      <c r="J6">
        <f t="shared" si="1"/>
        <v>1</v>
      </c>
    </row>
    <row r="7" spans="1:10" x14ac:dyDescent="0.3">
      <c r="A7" s="1" t="s">
        <v>4</v>
      </c>
      <c r="B7">
        <f>MAX(B5:J5)</f>
        <v>0.32883000000000001</v>
      </c>
    </row>
    <row r="9" spans="1:10" x14ac:dyDescent="0.3">
      <c r="A9" s="1" t="s">
        <v>7</v>
      </c>
    </row>
    <row r="10" spans="1:10" x14ac:dyDescent="0.3">
      <c r="A10" s="1" t="s">
        <v>3</v>
      </c>
      <c r="B10">
        <v>100</v>
      </c>
      <c r="C10">
        <v>250</v>
      </c>
      <c r="D10">
        <v>500</v>
      </c>
      <c r="E10">
        <v>1000</v>
      </c>
      <c r="F10">
        <v>2500</v>
      </c>
      <c r="G10">
        <v>5000</v>
      </c>
      <c r="H10">
        <v>10000</v>
      </c>
      <c r="I10">
        <v>50000</v>
      </c>
      <c r="J10">
        <v>100000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3">
      <c r="A12" s="1" t="s">
        <v>1</v>
      </c>
      <c r="B12">
        <v>7.0000000000000001E-3</v>
      </c>
      <c r="C12">
        <v>4.9000000000000002E-2</v>
      </c>
      <c r="D12">
        <v>0.19500000000000001</v>
      </c>
      <c r="E12">
        <v>0.755</v>
      </c>
      <c r="F12">
        <v>3.8969999999999998</v>
      </c>
      <c r="G12">
        <v>10.335000000000001</v>
      </c>
      <c r="H12">
        <v>19.867999999999999</v>
      </c>
      <c r="I12">
        <v>32.283000000000001</v>
      </c>
      <c r="J12">
        <v>33.061</v>
      </c>
    </row>
    <row r="13" spans="1:10" x14ac:dyDescent="0.3">
      <c r="A13" s="1" t="s">
        <v>5</v>
      </c>
      <c r="B13">
        <f>B12/B11</f>
        <v>7.0000000000000007E-5</v>
      </c>
      <c r="C13">
        <f t="shared" ref="C13:J13" si="2">C12/C11</f>
        <v>4.8999999999999998E-4</v>
      </c>
      <c r="D13">
        <f t="shared" si="2"/>
        <v>1.9500000000000001E-3</v>
      </c>
      <c r="E13">
        <f t="shared" si="2"/>
        <v>7.5500000000000003E-3</v>
      </c>
      <c r="F13">
        <f t="shared" si="2"/>
        <v>3.8969999999999998E-2</v>
      </c>
      <c r="G13">
        <f t="shared" si="2"/>
        <v>0.10335000000000001</v>
      </c>
      <c r="H13">
        <f t="shared" si="2"/>
        <v>0.19868</v>
      </c>
      <c r="I13">
        <f t="shared" si="2"/>
        <v>0.32283000000000001</v>
      </c>
      <c r="J13">
        <f t="shared" si="2"/>
        <v>0.33061000000000001</v>
      </c>
    </row>
    <row r="14" spans="1:10" x14ac:dyDescent="0.3">
      <c r="A14" s="1" t="s">
        <v>2</v>
      </c>
      <c r="B14">
        <f t="shared" ref="B14:I14" si="3">B13/$B$15</f>
        <v>2.1172983273343214E-4</v>
      </c>
      <c r="C14">
        <f t="shared" si="3"/>
        <v>1.4821088291340249E-3</v>
      </c>
      <c r="D14">
        <f t="shared" si="3"/>
        <v>5.8981881975741814E-3</v>
      </c>
      <c r="E14">
        <f t="shared" si="3"/>
        <v>2.2836574816248751E-2</v>
      </c>
      <c r="F14">
        <f t="shared" si="3"/>
        <v>0.11787302259459785</v>
      </c>
      <c r="G14">
        <f t="shared" si="3"/>
        <v>0.31260397447143162</v>
      </c>
      <c r="H14">
        <f t="shared" si="3"/>
        <v>0.60094975953540419</v>
      </c>
      <c r="I14">
        <f t="shared" si="3"/>
        <v>0.97646774144762705</v>
      </c>
      <c r="J14">
        <f>J13/$B$15</f>
        <v>1</v>
      </c>
    </row>
    <row r="15" spans="1:10" x14ac:dyDescent="0.3">
      <c r="A15" s="1" t="s">
        <v>4</v>
      </c>
      <c r="B15">
        <f>MAX(B13:J13)</f>
        <v>0.33061000000000001</v>
      </c>
    </row>
    <row r="18" spans="1:10" x14ac:dyDescent="0.3">
      <c r="B18">
        <v>100</v>
      </c>
      <c r="C18">
        <v>250</v>
      </c>
      <c r="D18">
        <v>500</v>
      </c>
      <c r="E18">
        <v>1000</v>
      </c>
      <c r="F18">
        <v>2500</v>
      </c>
      <c r="G18">
        <v>5000</v>
      </c>
      <c r="H18">
        <v>10000</v>
      </c>
      <c r="I18">
        <v>50000</v>
      </c>
      <c r="J18">
        <v>100000</v>
      </c>
    </row>
    <row r="19" spans="1:10" x14ac:dyDescent="0.3">
      <c r="A19" t="s">
        <v>13</v>
      </c>
      <c r="B19">
        <v>4.0000000000000003E-5</v>
      </c>
      <c r="C19">
        <v>2.5000000000000001E-4</v>
      </c>
      <c r="D19">
        <v>9.7999999999999997E-4</v>
      </c>
      <c r="E19">
        <v>3.8700000000000002E-3</v>
      </c>
      <c r="F19">
        <v>2.213E-2</v>
      </c>
      <c r="G19">
        <v>6.9339999999999999E-2</v>
      </c>
      <c r="H19">
        <v>0.15856000000000001</v>
      </c>
      <c r="I19">
        <v>0.31627</v>
      </c>
      <c r="J19">
        <v>0.32883000000000001</v>
      </c>
    </row>
    <row r="20" spans="1:10" x14ac:dyDescent="0.3">
      <c r="A20" t="s">
        <v>12</v>
      </c>
      <c r="B20">
        <v>7.0000000000000007E-5</v>
      </c>
      <c r="C20">
        <v>4.8999999999999998E-4</v>
      </c>
      <c r="D20">
        <v>1.9500000000000001E-3</v>
      </c>
      <c r="E20">
        <v>7.5500000000000003E-3</v>
      </c>
      <c r="F20">
        <v>3.8969999999999998E-2</v>
      </c>
      <c r="G20">
        <v>0.10335000000000001</v>
      </c>
      <c r="H20">
        <v>0.19868</v>
      </c>
      <c r="I20">
        <v>0.32283000000000001</v>
      </c>
      <c r="J20">
        <v>0.33061000000000001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8EBF-3D64-4597-BB2A-2A3E13AF3A10}">
  <dimension ref="A1:J20"/>
  <sheetViews>
    <sheetView workbookViewId="0">
      <selection activeCell="Q19" sqref="Q19"/>
    </sheetView>
  </sheetViews>
  <sheetFormatPr defaultRowHeight="14.4" x14ac:dyDescent="0.3"/>
  <sheetData>
    <row r="1" spans="1:10" x14ac:dyDescent="0.3">
      <c r="A1" t="s">
        <v>6</v>
      </c>
    </row>
    <row r="2" spans="1:10" x14ac:dyDescent="0.3">
      <c r="A2" s="1" t="s">
        <v>3</v>
      </c>
      <c r="B2">
        <v>100</v>
      </c>
      <c r="C2">
        <v>500</v>
      </c>
      <c r="D2">
        <v>1000</v>
      </c>
      <c r="E2">
        <v>5000</v>
      </c>
      <c r="F2">
        <v>10000</v>
      </c>
      <c r="G2">
        <v>50000</v>
      </c>
      <c r="H2">
        <v>75000</v>
      </c>
      <c r="I2">
        <v>100000</v>
      </c>
      <c r="J2">
        <v>200000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45.454000000000001</v>
      </c>
      <c r="C4">
        <v>45.448</v>
      </c>
      <c r="D4">
        <v>45.427</v>
      </c>
      <c r="E4">
        <v>44.78</v>
      </c>
      <c r="F4">
        <v>42.901000000000003</v>
      </c>
      <c r="G4">
        <v>22.545999999999999</v>
      </c>
      <c r="H4">
        <v>16.178000000000001</v>
      </c>
      <c r="I4">
        <v>12.484</v>
      </c>
      <c r="J4">
        <v>6.4260000000000002</v>
      </c>
    </row>
    <row r="5" spans="1:10" x14ac:dyDescent="0.3">
      <c r="A5" s="1" t="s">
        <v>5</v>
      </c>
      <c r="B5">
        <f>B4/B3</f>
        <v>0.45454</v>
      </c>
      <c r="C5">
        <f>C4/C3</f>
        <v>0.45448</v>
      </c>
      <c r="D5">
        <f>D4/D3</f>
        <v>0.45427000000000001</v>
      </c>
      <c r="E5">
        <f>E4/E3</f>
        <v>0.44780000000000003</v>
      </c>
      <c r="F5">
        <f t="shared" ref="F5:J5" si="0">F4/F3</f>
        <v>0.42901000000000006</v>
      </c>
      <c r="G5">
        <f t="shared" si="0"/>
        <v>0.22545999999999999</v>
      </c>
      <c r="H5">
        <f t="shared" si="0"/>
        <v>0.16178000000000001</v>
      </c>
      <c r="I5">
        <f t="shared" si="0"/>
        <v>0.12484000000000001</v>
      </c>
      <c r="J5">
        <f t="shared" si="0"/>
        <v>6.4259999999999998E-2</v>
      </c>
    </row>
    <row r="6" spans="1:10" x14ac:dyDescent="0.3">
      <c r="A6" s="1" t="s">
        <v>2</v>
      </c>
      <c r="B6">
        <f t="shared" ref="B6:J6" si="1">B5/$B$7</f>
        <v>1</v>
      </c>
      <c r="C6">
        <f t="shared" si="1"/>
        <v>0.99986799841598095</v>
      </c>
      <c r="D6">
        <f t="shared" si="1"/>
        <v>0.99940599287191445</v>
      </c>
      <c r="E6">
        <f t="shared" si="1"/>
        <v>0.98517182206186482</v>
      </c>
      <c r="F6">
        <f t="shared" si="1"/>
        <v>0.9438333259999121</v>
      </c>
      <c r="G6">
        <f t="shared" si="1"/>
        <v>0.49601795221542655</v>
      </c>
      <c r="H6">
        <f t="shared" si="1"/>
        <v>0.35592027104325252</v>
      </c>
      <c r="I6">
        <f t="shared" si="1"/>
        <v>0.27465129581554981</v>
      </c>
      <c r="J6">
        <f t="shared" si="1"/>
        <v>0.1413736964843578</v>
      </c>
    </row>
    <row r="7" spans="1:10" x14ac:dyDescent="0.3">
      <c r="A7" s="1" t="s">
        <v>4</v>
      </c>
      <c r="B7">
        <f>MAX(B5:J5)</f>
        <v>0.45454</v>
      </c>
    </row>
    <row r="9" spans="1:10" x14ac:dyDescent="0.3">
      <c r="A9" s="1" t="s">
        <v>7</v>
      </c>
    </row>
    <row r="10" spans="1:10" x14ac:dyDescent="0.3">
      <c r="A10" s="1" t="s">
        <v>3</v>
      </c>
      <c r="B10">
        <v>100</v>
      </c>
      <c r="C10">
        <v>500</v>
      </c>
      <c r="D10">
        <v>1000</v>
      </c>
      <c r="E10">
        <v>5000</v>
      </c>
      <c r="F10">
        <v>10000</v>
      </c>
      <c r="G10">
        <v>50000</v>
      </c>
      <c r="H10">
        <v>75000</v>
      </c>
      <c r="I10">
        <v>100000</v>
      </c>
      <c r="J10">
        <v>200000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3">
      <c r="A12" s="1" t="s">
        <v>1</v>
      </c>
      <c r="B12">
        <v>45.454000000000001</v>
      </c>
      <c r="C12">
        <v>45.427</v>
      </c>
      <c r="D12">
        <v>45.345999999999997</v>
      </c>
      <c r="E12">
        <v>42.923000000000002</v>
      </c>
      <c r="F12">
        <v>37.232999999999997</v>
      </c>
      <c r="G12">
        <v>12.484</v>
      </c>
      <c r="H12">
        <v>8.5030000000000001</v>
      </c>
      <c r="I12">
        <v>6.4260000000000002</v>
      </c>
      <c r="J12">
        <v>3.238</v>
      </c>
    </row>
    <row r="13" spans="1:10" x14ac:dyDescent="0.3">
      <c r="A13" s="1" t="s">
        <v>5</v>
      </c>
      <c r="B13">
        <f>B12/B11</f>
        <v>0.45454</v>
      </c>
      <c r="C13">
        <f t="shared" ref="C13:J13" si="2">C12/C11</f>
        <v>0.45427000000000001</v>
      </c>
      <c r="D13">
        <f t="shared" si="2"/>
        <v>0.45345999999999997</v>
      </c>
      <c r="E13">
        <f t="shared" si="2"/>
        <v>0.42923</v>
      </c>
      <c r="F13">
        <f t="shared" si="2"/>
        <v>0.37232999999999999</v>
      </c>
      <c r="G13">
        <f t="shared" si="2"/>
        <v>0.12484000000000001</v>
      </c>
      <c r="H13">
        <f t="shared" si="2"/>
        <v>8.5029999999999994E-2</v>
      </c>
      <c r="I13">
        <f t="shared" si="2"/>
        <v>6.4259999999999998E-2</v>
      </c>
      <c r="J13">
        <f t="shared" si="2"/>
        <v>3.2379999999999999E-2</v>
      </c>
    </row>
    <row r="14" spans="1:10" x14ac:dyDescent="0.3">
      <c r="A14" s="1" t="s">
        <v>2</v>
      </c>
      <c r="B14">
        <f t="shared" ref="B14:I14" si="3">B13/$B$15</f>
        <v>1</v>
      </c>
      <c r="C14">
        <f t="shared" si="3"/>
        <v>0.99940599287191445</v>
      </c>
      <c r="D14">
        <f t="shared" si="3"/>
        <v>0.9976239714876578</v>
      </c>
      <c r="E14">
        <f t="shared" si="3"/>
        <v>0.94431733180798172</v>
      </c>
      <c r="F14">
        <f t="shared" si="3"/>
        <v>0.81913582962995557</v>
      </c>
      <c r="G14">
        <f t="shared" si="3"/>
        <v>0.27465129581554981</v>
      </c>
      <c r="H14">
        <f t="shared" si="3"/>
        <v>0.18706824481893783</v>
      </c>
      <c r="I14">
        <f t="shared" si="3"/>
        <v>0.1413736964843578</v>
      </c>
      <c r="J14">
        <f>J13/$B$15</f>
        <v>7.1236854842258099E-2</v>
      </c>
    </row>
    <row r="15" spans="1:10" x14ac:dyDescent="0.3">
      <c r="A15" s="1" t="s">
        <v>4</v>
      </c>
      <c r="B15">
        <f>MAX(B13:J13)</f>
        <v>0.45454</v>
      </c>
    </row>
    <row r="18" spans="1:10" x14ac:dyDescent="0.3">
      <c r="B18">
        <v>100</v>
      </c>
      <c r="C18">
        <v>500</v>
      </c>
      <c r="D18">
        <v>1000</v>
      </c>
      <c r="E18">
        <v>5000</v>
      </c>
      <c r="F18">
        <v>10000</v>
      </c>
      <c r="G18">
        <v>50000</v>
      </c>
      <c r="H18">
        <v>75000</v>
      </c>
      <c r="I18">
        <v>100000</v>
      </c>
      <c r="J18">
        <v>200000</v>
      </c>
    </row>
    <row r="19" spans="1:10" x14ac:dyDescent="0.3">
      <c r="A19" t="s">
        <v>13</v>
      </c>
      <c r="B19">
        <v>0.45454</v>
      </c>
      <c r="C19">
        <v>0.45448</v>
      </c>
      <c r="D19">
        <v>0.45427000000000001</v>
      </c>
      <c r="E19">
        <v>0.44780000000000003</v>
      </c>
      <c r="F19">
        <v>0.42901000000000006</v>
      </c>
      <c r="G19">
        <v>0.22545999999999999</v>
      </c>
      <c r="H19">
        <v>0.16178000000000001</v>
      </c>
      <c r="I19">
        <v>0.12484000000000001</v>
      </c>
      <c r="J19">
        <v>6.4259999999999998E-2</v>
      </c>
    </row>
    <row r="20" spans="1:10" x14ac:dyDescent="0.3">
      <c r="A20" t="s">
        <v>12</v>
      </c>
      <c r="B20">
        <v>0.45454</v>
      </c>
      <c r="C20">
        <v>0.45427000000000001</v>
      </c>
      <c r="D20">
        <v>0.45345999999999997</v>
      </c>
      <c r="E20">
        <v>0.42923</v>
      </c>
      <c r="F20">
        <v>0.37232999999999999</v>
      </c>
      <c r="G20">
        <v>0.12484000000000001</v>
      </c>
      <c r="H20">
        <v>8.5029999999999994E-2</v>
      </c>
      <c r="I20">
        <v>6.4259999999999998E-2</v>
      </c>
      <c r="J20">
        <v>3.2379999999999999E-2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DB6D-8E8F-413E-A763-6A29B3B7DE69}">
  <dimension ref="A1:J21"/>
  <sheetViews>
    <sheetView workbookViewId="0">
      <selection sqref="A1:J7"/>
    </sheetView>
  </sheetViews>
  <sheetFormatPr defaultRowHeight="14.4" x14ac:dyDescent="0.3"/>
  <sheetData>
    <row r="1" spans="1:10" x14ac:dyDescent="0.3">
      <c r="A1" t="s">
        <v>10</v>
      </c>
    </row>
    <row r="2" spans="1:10" x14ac:dyDescent="0.3">
      <c r="A2" s="1" t="s">
        <v>3</v>
      </c>
      <c r="B2">
        <v>50000</v>
      </c>
      <c r="C2">
        <v>70000</v>
      </c>
      <c r="D2">
        <v>72500</v>
      </c>
      <c r="E2">
        <v>75000</v>
      </c>
      <c r="F2">
        <v>77500</v>
      </c>
      <c r="G2">
        <v>79000</v>
      </c>
      <c r="H2">
        <v>82000</v>
      </c>
      <c r="I2">
        <v>86000</v>
      </c>
      <c r="J2">
        <v>100000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49.703000000000003</v>
      </c>
      <c r="C4">
        <v>45.417000000000002</v>
      </c>
      <c r="D4">
        <v>41.353000000000002</v>
      </c>
      <c r="E4">
        <v>31.151</v>
      </c>
      <c r="F4">
        <v>7.1539999999999999</v>
      </c>
      <c r="G4">
        <v>11.505000000000001</v>
      </c>
      <c r="H4">
        <v>34.953000000000003</v>
      </c>
      <c r="I4">
        <v>44.38</v>
      </c>
      <c r="J4">
        <v>49</v>
      </c>
    </row>
    <row r="5" spans="1:10" x14ac:dyDescent="0.3">
      <c r="A5" s="1" t="s">
        <v>5</v>
      </c>
      <c r="B5">
        <f>B4/B3</f>
        <v>0.49703000000000003</v>
      </c>
      <c r="C5">
        <f t="shared" ref="C5:J5" si="0">C4/C3</f>
        <v>0.45417000000000002</v>
      </c>
      <c r="D5">
        <f>D4/D3</f>
        <v>0.41353000000000001</v>
      </c>
      <c r="E5">
        <f t="shared" si="0"/>
        <v>0.31151000000000001</v>
      </c>
      <c r="F5">
        <f>F4/F3</f>
        <v>7.1539999999999992E-2</v>
      </c>
      <c r="G5">
        <f t="shared" si="0"/>
        <v>0.11505000000000001</v>
      </c>
      <c r="H5">
        <f t="shared" si="0"/>
        <v>0.34953000000000001</v>
      </c>
      <c r="I5">
        <f t="shared" si="0"/>
        <v>0.44380000000000003</v>
      </c>
      <c r="J5">
        <f t="shared" si="0"/>
        <v>0.49</v>
      </c>
    </row>
    <row r="6" spans="1:10" x14ac:dyDescent="0.3">
      <c r="A6" s="1" t="s">
        <v>2</v>
      </c>
      <c r="B6">
        <f t="shared" ref="B6:J6" si="1">B5/$B$7</f>
        <v>1</v>
      </c>
      <c r="C6">
        <f t="shared" si="1"/>
        <v>0.91376778061686414</v>
      </c>
      <c r="D6">
        <f t="shared" si="1"/>
        <v>0.83200209242902845</v>
      </c>
      <c r="E6">
        <f t="shared" si="1"/>
        <v>0.62674285254411199</v>
      </c>
      <c r="F6">
        <f t="shared" si="1"/>
        <v>0.14393497374403957</v>
      </c>
      <c r="G6">
        <f t="shared" si="1"/>
        <v>0.23147496126994349</v>
      </c>
      <c r="H6">
        <f t="shared" si="1"/>
        <v>0.7032372291410981</v>
      </c>
      <c r="I6">
        <f t="shared" si="1"/>
        <v>0.89290384886224172</v>
      </c>
      <c r="J6">
        <f t="shared" si="1"/>
        <v>0.98585598454821632</v>
      </c>
    </row>
    <row r="7" spans="1:10" x14ac:dyDescent="0.3">
      <c r="A7" s="1" t="s">
        <v>4</v>
      </c>
      <c r="B7">
        <f>MAX(B5:J5)</f>
        <v>0.49703000000000003</v>
      </c>
    </row>
    <row r="9" spans="1:10" x14ac:dyDescent="0.3">
      <c r="A9" s="1" t="s">
        <v>11</v>
      </c>
    </row>
    <row r="10" spans="1:10" x14ac:dyDescent="0.3">
      <c r="A10" s="1" t="s">
        <v>3</v>
      </c>
      <c r="B10">
        <v>1</v>
      </c>
      <c r="C10">
        <v>5</v>
      </c>
      <c r="D10">
        <v>10</v>
      </c>
      <c r="E10">
        <v>15</v>
      </c>
      <c r="F10">
        <v>20</v>
      </c>
      <c r="G10">
        <v>25</v>
      </c>
      <c r="H10">
        <v>50</v>
      </c>
      <c r="I10">
        <v>100</v>
      </c>
      <c r="J10">
        <v>1000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3">
      <c r="A12" s="1" t="s">
        <v>1</v>
      </c>
      <c r="B12">
        <v>3.1179999999999999</v>
      </c>
      <c r="C12">
        <v>13.379</v>
      </c>
      <c r="D12">
        <v>19.66</v>
      </c>
      <c r="E12">
        <v>22.148</v>
      </c>
      <c r="F12">
        <v>23.271999999999998</v>
      </c>
      <c r="G12">
        <v>23.852</v>
      </c>
      <c r="H12">
        <v>24.698</v>
      </c>
      <c r="I12">
        <v>24.922999999999998</v>
      </c>
      <c r="J12">
        <v>25</v>
      </c>
    </row>
    <row r="13" spans="1:10" x14ac:dyDescent="0.3">
      <c r="A13" s="1" t="s">
        <v>5</v>
      </c>
      <c r="B13">
        <f>B12/B11</f>
        <v>3.1179999999999999E-2</v>
      </c>
      <c r="C13">
        <f t="shared" ref="C13:J13" si="2">C12/C11</f>
        <v>0.13378999999999999</v>
      </c>
      <c r="D13">
        <f t="shared" si="2"/>
        <v>0.1966</v>
      </c>
      <c r="E13">
        <f t="shared" si="2"/>
        <v>0.22148000000000001</v>
      </c>
      <c r="F13">
        <f t="shared" si="2"/>
        <v>0.23271999999999998</v>
      </c>
      <c r="G13">
        <f t="shared" si="2"/>
        <v>0.23852000000000001</v>
      </c>
      <c r="H13">
        <f t="shared" si="2"/>
        <v>0.24698000000000001</v>
      </c>
      <c r="I13">
        <f t="shared" si="2"/>
        <v>0.24922999999999998</v>
      </c>
      <c r="J13">
        <f t="shared" si="2"/>
        <v>0.25</v>
      </c>
    </row>
    <row r="14" spans="1:10" x14ac:dyDescent="0.3">
      <c r="A14" s="1" t="s">
        <v>2</v>
      </c>
      <c r="B14">
        <f t="shared" ref="B14:I14" si="3">B13/$B$15</f>
        <v>0.12472</v>
      </c>
      <c r="C14">
        <f t="shared" si="3"/>
        <v>0.53515999999999997</v>
      </c>
      <c r="D14">
        <f t="shared" si="3"/>
        <v>0.78639999999999999</v>
      </c>
      <c r="E14">
        <f t="shared" si="3"/>
        <v>0.88592000000000004</v>
      </c>
      <c r="F14">
        <f t="shared" si="3"/>
        <v>0.93087999999999993</v>
      </c>
      <c r="G14">
        <f t="shared" si="3"/>
        <v>0.95408000000000004</v>
      </c>
      <c r="H14">
        <f t="shared" si="3"/>
        <v>0.98792000000000002</v>
      </c>
      <c r="I14">
        <f t="shared" si="3"/>
        <v>0.99691999999999992</v>
      </c>
      <c r="J14">
        <f>J13/$B$15</f>
        <v>1</v>
      </c>
    </row>
    <row r="15" spans="1:10" x14ac:dyDescent="0.3">
      <c r="A15" s="1" t="s">
        <v>4</v>
      </c>
      <c r="B15">
        <f>MAX(B13:J13)</f>
        <v>0.25</v>
      </c>
    </row>
    <row r="19" spans="1:10" x14ac:dyDescent="0.3">
      <c r="B19">
        <v>1</v>
      </c>
      <c r="C19">
        <v>5</v>
      </c>
      <c r="D19">
        <v>10</v>
      </c>
      <c r="E19">
        <v>15</v>
      </c>
      <c r="F19">
        <v>20</v>
      </c>
      <c r="G19">
        <v>25</v>
      </c>
      <c r="H19">
        <v>50</v>
      </c>
      <c r="I19">
        <v>100</v>
      </c>
      <c r="J19">
        <v>1000</v>
      </c>
    </row>
    <row r="20" spans="1:10" x14ac:dyDescent="0.3">
      <c r="A20" t="s">
        <v>13</v>
      </c>
      <c r="B20">
        <v>1.5679999999999999E-2</v>
      </c>
      <c r="C20">
        <v>7.5490000000000002E-2</v>
      </c>
      <c r="D20">
        <v>0.13422999999999999</v>
      </c>
      <c r="E20">
        <v>0.17263999999999999</v>
      </c>
      <c r="F20">
        <v>0.19658999999999999</v>
      </c>
      <c r="G20">
        <v>0.21167000000000002</v>
      </c>
      <c r="H20">
        <v>0.23852000000000001</v>
      </c>
      <c r="I20">
        <v>0.24698000000000001</v>
      </c>
      <c r="J20">
        <v>0.25</v>
      </c>
    </row>
    <row r="21" spans="1:10" x14ac:dyDescent="0.3">
      <c r="A21" t="s">
        <v>12</v>
      </c>
      <c r="B21">
        <v>3.1179999999999999E-2</v>
      </c>
      <c r="C21">
        <v>0.13378999999999999</v>
      </c>
      <c r="D21">
        <v>0.1966</v>
      </c>
      <c r="E21">
        <v>0.22148000000000001</v>
      </c>
      <c r="F21">
        <v>0.23271999999999998</v>
      </c>
      <c r="G21">
        <v>0.23852000000000001</v>
      </c>
      <c r="H21">
        <v>0.24698000000000001</v>
      </c>
      <c r="I21">
        <v>0.24922999999999998</v>
      </c>
      <c r="J21">
        <v>0.25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8E27-0868-4839-AEFD-AB90DD1E0913}">
  <dimension ref="A1:H20"/>
  <sheetViews>
    <sheetView workbookViewId="0">
      <selection sqref="A1:H15"/>
    </sheetView>
  </sheetViews>
  <sheetFormatPr defaultRowHeight="14.4" x14ac:dyDescent="0.3"/>
  <sheetData>
    <row r="1" spans="1:8" x14ac:dyDescent="0.3">
      <c r="A1" t="s">
        <v>6</v>
      </c>
    </row>
    <row r="2" spans="1:8" x14ac:dyDescent="0.3">
      <c r="A2" s="1" t="s">
        <v>3</v>
      </c>
      <c r="B2">
        <v>100</v>
      </c>
      <c r="C2">
        <v>250</v>
      </c>
      <c r="D2">
        <v>500</v>
      </c>
      <c r="E2">
        <v>1000</v>
      </c>
      <c r="F2">
        <v>2500</v>
      </c>
      <c r="G2">
        <v>5000</v>
      </c>
      <c r="H2">
        <v>10000</v>
      </c>
    </row>
    <row r="3" spans="1:8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</row>
    <row r="4" spans="1:8" x14ac:dyDescent="0.3">
      <c r="A4" s="1" t="s">
        <v>1</v>
      </c>
      <c r="B4">
        <v>2.206</v>
      </c>
      <c r="C4">
        <v>0.38700000000000001</v>
      </c>
      <c r="D4">
        <v>0.157</v>
      </c>
      <c r="E4">
        <v>8.6999999999999994E-2</v>
      </c>
      <c r="F4">
        <v>5.1999999999999998E-2</v>
      </c>
      <c r="G4">
        <v>2.1000000000000001E-2</v>
      </c>
      <c r="H4">
        <v>6.0000000000000001E-3</v>
      </c>
    </row>
    <row r="5" spans="1:8" x14ac:dyDescent="0.3">
      <c r="A5" s="1" t="s">
        <v>5</v>
      </c>
      <c r="B5">
        <f>B4/B3</f>
        <v>2.206E-2</v>
      </c>
      <c r="C5">
        <f>C4/C3</f>
        <v>3.8700000000000002E-3</v>
      </c>
      <c r="D5">
        <f>D4/D3</f>
        <v>1.57E-3</v>
      </c>
      <c r="E5">
        <f>E4/E3</f>
        <v>8.699999999999999E-4</v>
      </c>
      <c r="F5">
        <f t="shared" ref="F5:H5" si="0">F4/F3</f>
        <v>5.1999999999999995E-4</v>
      </c>
      <c r="G5">
        <f t="shared" si="0"/>
        <v>2.1000000000000001E-4</v>
      </c>
      <c r="H5">
        <f t="shared" si="0"/>
        <v>6.0000000000000002E-5</v>
      </c>
    </row>
    <row r="6" spans="1:8" x14ac:dyDescent="0.3">
      <c r="A6" s="1" t="s">
        <v>2</v>
      </c>
      <c r="B6">
        <f t="shared" ref="B6:H6" si="1">B5/$B$7</f>
        <v>1</v>
      </c>
      <c r="C6">
        <f t="shared" si="1"/>
        <v>0.17543064369900274</v>
      </c>
      <c r="D6">
        <f t="shared" si="1"/>
        <v>7.1169537624660023E-2</v>
      </c>
      <c r="E6">
        <f t="shared" si="1"/>
        <v>3.9437896645512234E-2</v>
      </c>
      <c r="F6">
        <f t="shared" si="1"/>
        <v>2.357207615593835E-2</v>
      </c>
      <c r="G6">
        <f t="shared" si="1"/>
        <v>9.5194922937443336E-3</v>
      </c>
      <c r="H6">
        <f t="shared" si="1"/>
        <v>2.7198549410698096E-3</v>
      </c>
    </row>
    <row r="7" spans="1:8" x14ac:dyDescent="0.3">
      <c r="A7" s="1" t="s">
        <v>4</v>
      </c>
      <c r="B7">
        <f>MAX(B5:J5)</f>
        <v>2.206E-2</v>
      </c>
    </row>
    <row r="9" spans="1:8" x14ac:dyDescent="0.3">
      <c r="A9" s="1" t="s">
        <v>7</v>
      </c>
    </row>
    <row r="10" spans="1:8" x14ac:dyDescent="0.3">
      <c r="A10" s="1" t="s">
        <v>3</v>
      </c>
      <c r="B10">
        <v>100</v>
      </c>
      <c r="C10">
        <v>250</v>
      </c>
      <c r="D10">
        <v>500</v>
      </c>
      <c r="E10">
        <v>1000</v>
      </c>
      <c r="F10">
        <v>2500</v>
      </c>
      <c r="G10">
        <v>5000</v>
      </c>
      <c r="H10">
        <v>10000</v>
      </c>
    </row>
    <row r="11" spans="1:8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</row>
    <row r="12" spans="1:8" x14ac:dyDescent="0.3">
      <c r="A12" s="1" t="s">
        <v>1</v>
      </c>
      <c r="B12">
        <v>0.59799999999999998</v>
      </c>
      <c r="C12">
        <v>0.157</v>
      </c>
      <c r="D12">
        <v>2.4E-2</v>
      </c>
      <c r="E12">
        <v>1.9E-2</v>
      </c>
      <c r="F12">
        <v>1E-3</v>
      </c>
      <c r="G12">
        <v>9.8700000000000003E-4</v>
      </c>
      <c r="H12">
        <v>7.8999999999999996E-5</v>
      </c>
    </row>
    <row r="13" spans="1:8" x14ac:dyDescent="0.3">
      <c r="A13" s="1" t="s">
        <v>5</v>
      </c>
      <c r="B13">
        <f>B12/B11</f>
        <v>5.9800000000000001E-3</v>
      </c>
      <c r="C13">
        <f t="shared" ref="C13:H13" si="2">C12/C11</f>
        <v>1.57E-3</v>
      </c>
      <c r="D13">
        <f t="shared" si="2"/>
        <v>2.4000000000000001E-4</v>
      </c>
      <c r="E13">
        <f t="shared" si="2"/>
        <v>1.8999999999999998E-4</v>
      </c>
      <c r="F13">
        <f t="shared" si="2"/>
        <v>1.0000000000000001E-5</v>
      </c>
      <c r="G13">
        <f t="shared" si="2"/>
        <v>9.8700000000000004E-6</v>
      </c>
      <c r="H13">
        <f t="shared" si="2"/>
        <v>7.8999999999999995E-7</v>
      </c>
    </row>
    <row r="14" spans="1:8" x14ac:dyDescent="0.3">
      <c r="A14" s="1" t="s">
        <v>2</v>
      </c>
      <c r="B14">
        <f t="shared" ref="B14:H14" si="3">B13/$B$15</f>
        <v>1</v>
      </c>
      <c r="C14">
        <f t="shared" si="3"/>
        <v>0.26254180602006688</v>
      </c>
      <c r="D14">
        <f t="shared" si="3"/>
        <v>4.0133779264214048E-2</v>
      </c>
      <c r="E14">
        <f t="shared" si="3"/>
        <v>3.177257525083612E-2</v>
      </c>
      <c r="F14">
        <f t="shared" si="3"/>
        <v>1.6722408026755855E-3</v>
      </c>
      <c r="G14">
        <f t="shared" si="3"/>
        <v>1.6505016722408027E-3</v>
      </c>
      <c r="H14">
        <f t="shared" si="3"/>
        <v>1.3210702341137122E-4</v>
      </c>
    </row>
    <row r="15" spans="1:8" x14ac:dyDescent="0.3">
      <c r="A15" s="1" t="s">
        <v>4</v>
      </c>
      <c r="B15">
        <f>MAX(B13:J13)</f>
        <v>5.9800000000000001E-3</v>
      </c>
    </row>
    <row r="18" spans="1:8" x14ac:dyDescent="0.3">
      <c r="B18">
        <v>100</v>
      </c>
      <c r="C18">
        <v>250</v>
      </c>
      <c r="D18">
        <v>500</v>
      </c>
      <c r="E18">
        <v>1000</v>
      </c>
      <c r="F18">
        <v>2500</v>
      </c>
      <c r="G18">
        <v>5000</v>
      </c>
      <c r="H18">
        <v>10000</v>
      </c>
    </row>
    <row r="19" spans="1:8" x14ac:dyDescent="0.3">
      <c r="A19" t="s">
        <v>13</v>
      </c>
      <c r="B19">
        <v>2.206E-2</v>
      </c>
      <c r="C19">
        <v>3.8700000000000002E-3</v>
      </c>
      <c r="D19">
        <v>1.57E-3</v>
      </c>
      <c r="E19">
        <v>8.699999999999999E-4</v>
      </c>
      <c r="F19">
        <v>5.1999999999999995E-4</v>
      </c>
      <c r="G19">
        <v>2.1000000000000001E-4</v>
      </c>
      <c r="H19">
        <v>6.0000000000000002E-5</v>
      </c>
    </row>
    <row r="20" spans="1:8" x14ac:dyDescent="0.3">
      <c r="A20" t="s">
        <v>12</v>
      </c>
      <c r="B20">
        <v>5.9800000000000001E-3</v>
      </c>
      <c r="C20">
        <v>1.57E-3</v>
      </c>
      <c r="D20">
        <v>2.4000000000000001E-4</v>
      </c>
      <c r="E20">
        <v>1.8999999999999998E-4</v>
      </c>
      <c r="F20">
        <v>1.0000000000000001E-5</v>
      </c>
      <c r="G20">
        <v>9.8700000000000004E-6</v>
      </c>
      <c r="H20">
        <v>7.8999999999999995E-7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689B-3F32-4524-8A04-5C9505CE7B33}">
  <dimension ref="A1:J28"/>
  <sheetViews>
    <sheetView tabSelected="1" workbookViewId="0">
      <selection activeCell="U6" sqref="U6"/>
    </sheetView>
  </sheetViews>
  <sheetFormatPr defaultRowHeight="14.4" x14ac:dyDescent="0.3"/>
  <sheetData>
    <row r="1" spans="1:10" x14ac:dyDescent="0.3">
      <c r="A1">
        <v>1</v>
      </c>
    </row>
    <row r="2" spans="1:10" x14ac:dyDescent="0.3">
      <c r="A2" s="1" t="s">
        <v>3</v>
      </c>
      <c r="B2">
        <v>50000</v>
      </c>
      <c r="C2">
        <v>70000</v>
      </c>
      <c r="D2">
        <v>72500</v>
      </c>
      <c r="E2">
        <v>75000</v>
      </c>
      <c r="F2">
        <v>77500</v>
      </c>
      <c r="G2">
        <v>79000</v>
      </c>
      <c r="H2">
        <v>82000</v>
      </c>
      <c r="I2">
        <v>86000</v>
      </c>
      <c r="J2">
        <v>100000</v>
      </c>
    </row>
    <row r="3" spans="1:10" x14ac:dyDescent="0.3">
      <c r="A3" s="1" t="s">
        <v>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s="1" t="s">
        <v>1</v>
      </c>
      <c r="B4">
        <v>49.703000000000003</v>
      </c>
      <c r="C4">
        <v>45.417000000000002</v>
      </c>
      <c r="D4">
        <v>41.353000000000002</v>
      </c>
      <c r="E4">
        <v>31.151</v>
      </c>
      <c r="F4">
        <v>7.1539999999999999</v>
      </c>
      <c r="G4">
        <v>11.505000000000001</v>
      </c>
      <c r="H4">
        <v>34.953000000000003</v>
      </c>
      <c r="I4">
        <v>44.38</v>
      </c>
      <c r="J4">
        <v>49</v>
      </c>
    </row>
    <row r="5" spans="1:10" x14ac:dyDescent="0.3">
      <c r="A5" s="1" t="s">
        <v>5</v>
      </c>
      <c r="B5">
        <f>B4/B3</f>
        <v>0.49703000000000003</v>
      </c>
      <c r="C5">
        <f t="shared" ref="C5:J5" si="0">C4/C3</f>
        <v>0.45417000000000002</v>
      </c>
      <c r="D5">
        <f>D4/D3</f>
        <v>0.41353000000000001</v>
      </c>
      <c r="E5">
        <f t="shared" si="0"/>
        <v>0.31151000000000001</v>
      </c>
      <c r="F5">
        <f>F4/F3</f>
        <v>7.1539999999999992E-2</v>
      </c>
      <c r="G5">
        <f t="shared" si="0"/>
        <v>0.11505000000000001</v>
      </c>
      <c r="H5">
        <f t="shared" si="0"/>
        <v>0.34953000000000001</v>
      </c>
      <c r="I5">
        <f t="shared" si="0"/>
        <v>0.44380000000000003</v>
      </c>
      <c r="J5">
        <f t="shared" si="0"/>
        <v>0.49</v>
      </c>
    </row>
    <row r="6" spans="1:10" x14ac:dyDescent="0.3">
      <c r="A6" s="1" t="s">
        <v>2</v>
      </c>
      <c r="B6">
        <f t="shared" ref="B6:J6" si="1">B5/$B$7</f>
        <v>1</v>
      </c>
      <c r="C6">
        <f t="shared" si="1"/>
        <v>0.91376778061686414</v>
      </c>
      <c r="D6">
        <f t="shared" si="1"/>
        <v>0.83200209242902845</v>
      </c>
      <c r="E6">
        <f t="shared" si="1"/>
        <v>0.62674285254411199</v>
      </c>
      <c r="F6">
        <f t="shared" si="1"/>
        <v>0.14393497374403957</v>
      </c>
      <c r="G6">
        <f t="shared" si="1"/>
        <v>0.23147496126994349</v>
      </c>
      <c r="H6">
        <f t="shared" si="1"/>
        <v>0.7032372291410981</v>
      </c>
      <c r="I6">
        <f t="shared" si="1"/>
        <v>0.89290384886224172</v>
      </c>
      <c r="J6">
        <f t="shared" si="1"/>
        <v>0.98585598454821632</v>
      </c>
    </row>
    <row r="7" spans="1:10" x14ac:dyDescent="0.3">
      <c r="A7" s="1" t="s">
        <v>4</v>
      </c>
      <c r="B7">
        <f>MAX(B5:J5)</f>
        <v>0.49703000000000003</v>
      </c>
    </row>
    <row r="9" spans="1:10" x14ac:dyDescent="0.3">
      <c r="A9" s="1">
        <v>2</v>
      </c>
    </row>
    <row r="10" spans="1:10" x14ac:dyDescent="0.3">
      <c r="A10" s="1" t="s">
        <v>3</v>
      </c>
      <c r="B10">
        <v>0.25</v>
      </c>
      <c r="C10">
        <v>0.5</v>
      </c>
      <c r="D10">
        <v>0.75</v>
      </c>
      <c r="E10">
        <v>1</v>
      </c>
      <c r="F10">
        <v>250</v>
      </c>
      <c r="G10">
        <v>500</v>
      </c>
      <c r="H10">
        <v>1000</v>
      </c>
      <c r="I10">
        <v>2500</v>
      </c>
    </row>
    <row r="11" spans="1:10" x14ac:dyDescent="0.3">
      <c r="A11" s="1" t="s">
        <v>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10" x14ac:dyDescent="0.3">
      <c r="A12" s="1" t="s">
        <v>1</v>
      </c>
      <c r="B12">
        <v>1.413</v>
      </c>
      <c r="C12">
        <v>2.8260000000000001</v>
      </c>
      <c r="D12">
        <v>4.2350000000000003</v>
      </c>
      <c r="E12">
        <v>5.641</v>
      </c>
      <c r="F12">
        <v>6.2619999999999996</v>
      </c>
      <c r="G12">
        <v>3.1389999999999998</v>
      </c>
      <c r="H12">
        <v>1.571</v>
      </c>
      <c r="I12">
        <v>0.628</v>
      </c>
    </row>
    <row r="13" spans="1:10" x14ac:dyDescent="0.3">
      <c r="A13" s="1" t="s">
        <v>5</v>
      </c>
      <c r="B13">
        <f>B12/B11</f>
        <v>1.413E-2</v>
      </c>
      <c r="C13">
        <f t="shared" ref="C13:I13" si="2">C12/C11</f>
        <v>2.826E-2</v>
      </c>
      <c r="D13">
        <f t="shared" si="2"/>
        <v>4.2350000000000006E-2</v>
      </c>
      <c r="E13">
        <f t="shared" si="2"/>
        <v>5.6410000000000002E-2</v>
      </c>
      <c r="F13">
        <f t="shared" si="2"/>
        <v>6.2619999999999995E-2</v>
      </c>
      <c r="G13">
        <f t="shared" si="2"/>
        <v>3.1390000000000001E-2</v>
      </c>
      <c r="H13">
        <f t="shared" si="2"/>
        <v>1.5709999999999998E-2</v>
      </c>
      <c r="I13">
        <f t="shared" si="2"/>
        <v>6.28E-3</v>
      </c>
    </row>
    <row r="14" spans="1:10" x14ac:dyDescent="0.3">
      <c r="A14" s="1" t="s">
        <v>2</v>
      </c>
      <c r="B14">
        <f t="shared" ref="B14:I14" si="3">B13/$B$15</f>
        <v>0.22564675822420954</v>
      </c>
      <c r="C14">
        <f t="shared" si="3"/>
        <v>0.45129351644841909</v>
      </c>
      <c r="D14">
        <f t="shared" si="3"/>
        <v>0.67630150111785381</v>
      </c>
      <c r="E14">
        <f t="shared" si="3"/>
        <v>0.90083040562120742</v>
      </c>
      <c r="F14">
        <f t="shared" si="3"/>
        <v>1</v>
      </c>
      <c r="G14">
        <f t="shared" si="3"/>
        <v>0.50127754710954975</v>
      </c>
      <c r="H14">
        <f t="shared" si="3"/>
        <v>0.25087831363781538</v>
      </c>
      <c r="I14">
        <f t="shared" si="3"/>
        <v>0.10028744809964868</v>
      </c>
    </row>
    <row r="15" spans="1:10" x14ac:dyDescent="0.3">
      <c r="A15" s="1" t="s">
        <v>4</v>
      </c>
      <c r="B15">
        <f>MAX(B13:J13)</f>
        <v>6.2619999999999995E-2</v>
      </c>
    </row>
    <row r="24" spans="1:10" x14ac:dyDescent="0.3">
      <c r="B24">
        <v>50000</v>
      </c>
      <c r="C24">
        <v>70000</v>
      </c>
      <c r="D24">
        <v>72500</v>
      </c>
      <c r="E24">
        <v>75000</v>
      </c>
      <c r="F24">
        <v>77500</v>
      </c>
      <c r="G24">
        <v>79000</v>
      </c>
      <c r="H24">
        <v>82000</v>
      </c>
      <c r="I24">
        <v>86000</v>
      </c>
      <c r="J24">
        <v>100000</v>
      </c>
    </row>
    <row r="25" spans="1:10" x14ac:dyDescent="0.3">
      <c r="A25">
        <v>1</v>
      </c>
      <c r="B25">
        <v>0.49703000000000003</v>
      </c>
      <c r="C25">
        <v>0.45417000000000002</v>
      </c>
      <c r="D25">
        <v>0.41353000000000001</v>
      </c>
      <c r="E25">
        <v>0.31151000000000001</v>
      </c>
      <c r="F25">
        <v>7.1539999999999992E-2</v>
      </c>
      <c r="G25">
        <v>0.11505000000000001</v>
      </c>
      <c r="H25">
        <v>0.34953000000000001</v>
      </c>
      <c r="I25">
        <v>0.44380000000000003</v>
      </c>
      <c r="J25">
        <v>0.49</v>
      </c>
    </row>
    <row r="27" spans="1:10" x14ac:dyDescent="0.3">
      <c r="B27">
        <v>0.25</v>
      </c>
      <c r="C27">
        <v>0.5</v>
      </c>
      <c r="D27">
        <v>0.75</v>
      </c>
      <c r="E27">
        <v>1</v>
      </c>
      <c r="F27">
        <v>250</v>
      </c>
      <c r="G27">
        <v>500</v>
      </c>
      <c r="H27">
        <v>1000</v>
      </c>
      <c r="I27">
        <v>2500</v>
      </c>
    </row>
    <row r="28" spans="1:10" x14ac:dyDescent="0.3">
      <c r="A28">
        <v>2</v>
      </c>
      <c r="B28">
        <v>1.413E-2</v>
      </c>
      <c r="C28">
        <v>2.826E-2</v>
      </c>
      <c r="D28">
        <v>4.2350000000000006E-2</v>
      </c>
      <c r="E28">
        <v>5.6410000000000002E-2</v>
      </c>
      <c r="F28">
        <v>6.2619999999999995E-2</v>
      </c>
      <c r="G28">
        <v>3.1390000000000001E-2</v>
      </c>
      <c r="H28">
        <v>1.5709999999999998E-2</v>
      </c>
      <c r="I28">
        <v>6.28E-3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Образец</vt:lpstr>
      <vt:lpstr>RC ФВЧ</vt:lpstr>
      <vt:lpstr>RL ФВЧ</vt:lpstr>
      <vt:lpstr>RC ФНЧ</vt:lpstr>
      <vt:lpstr>RL ФНЧ</vt:lpstr>
      <vt:lpstr>T ФВЧ</vt:lpstr>
      <vt:lpstr>T ФНЧ</vt:lpstr>
      <vt:lpstr>П ФВЧ</vt:lpstr>
      <vt:lpstr>П ФНЧ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Sparta</dc:creator>
  <cp:lastModifiedBy>Alex Sparta</cp:lastModifiedBy>
  <dcterms:created xsi:type="dcterms:W3CDTF">2015-06-05T18:19:34Z</dcterms:created>
  <dcterms:modified xsi:type="dcterms:W3CDTF">2024-10-15T10:51:58Z</dcterms:modified>
</cp:coreProperties>
</file>