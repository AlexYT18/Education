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v1136\Desktop\ЭиС\Цебро_лаб2\"/>
    </mc:Choice>
  </mc:AlternateContent>
  <xr:revisionPtr revIDLastSave="0" documentId="13_ncr:1_{22D668DE-C335-4722-85C1-C9328BF45D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2" i="1"/>
  <c r="F2" i="1"/>
  <c r="E2" i="1"/>
  <c r="D2" i="1"/>
  <c r="C2" i="1"/>
  <c r="B2" i="1"/>
  <c r="F7" i="1"/>
</calcChain>
</file>

<file path=xl/sharedStrings.xml><?xml version="1.0" encoding="utf-8"?>
<sst xmlns="http://schemas.openxmlformats.org/spreadsheetml/2006/main" count="82" uniqueCount="39">
  <si>
    <t>Частота напряжения</t>
  </si>
  <si>
    <t>0.1кГц</t>
  </si>
  <si>
    <t>0.3кГц</t>
  </si>
  <si>
    <t>0.5кГц</t>
  </si>
  <si>
    <t>1кГц</t>
  </si>
  <si>
    <t>1,5кГц</t>
  </si>
  <si>
    <t>2кГц</t>
  </si>
  <si>
    <t>5кГц</t>
  </si>
  <si>
    <t>15кГц</t>
  </si>
  <si>
    <t>Uc/R1,C1</t>
  </si>
  <si>
    <t>Uc/R1,C2</t>
  </si>
  <si>
    <t>Uc/R1,C3</t>
  </si>
  <si>
    <t>Uc/R2,C1</t>
  </si>
  <si>
    <t>Uc/R2,C2</t>
  </si>
  <si>
    <t>Uc/R2,C3</t>
  </si>
  <si>
    <t>Uc/R3,C1</t>
  </si>
  <si>
    <t>Uc/R3,C2</t>
  </si>
  <si>
    <t>Uc/R3,C3</t>
  </si>
  <si>
    <t>С2 = 552</t>
  </si>
  <si>
    <t>R1 = 1</t>
  </si>
  <si>
    <t>R2 = 1,37</t>
  </si>
  <si>
    <t>R3 = 1,72</t>
  </si>
  <si>
    <t>UL/R1,L1</t>
  </si>
  <si>
    <t>UL/R1,L2</t>
  </si>
  <si>
    <t>UL/R1,L3</t>
  </si>
  <si>
    <t>UL/R2,L1</t>
  </si>
  <si>
    <t>UL/R2,L2</t>
  </si>
  <si>
    <t>UL/R2,L3</t>
  </si>
  <si>
    <t>UL/R3,L1</t>
  </si>
  <si>
    <t>UL/R3,L2</t>
  </si>
  <si>
    <t>UL/R3,L3</t>
  </si>
  <si>
    <t>2,5кГц</t>
  </si>
  <si>
    <t>3кГц</t>
  </si>
  <si>
    <t>3,5кГц</t>
  </si>
  <si>
    <t>L3 = 9,36</t>
  </si>
  <si>
    <t>L2 = 6,79</t>
  </si>
  <si>
    <t>L1 = 3,5</t>
  </si>
  <si>
    <t>С3 = 960</t>
  </si>
  <si>
    <t>С1 =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</si>
</sst>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</a:t>
            </a:r>
            <a:r>
              <a:rPr lang="en-US" baseline="0"/>
              <a:t> =  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Uc/R1,C1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Лист1!$B$1:$I$1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Лист1!$B$2:$I$2</c:f>
              <c:numCache>
                <c:formatCode>General</c:formatCode>
                <c:ptCount val="8"/>
                <c:pt idx="0">
                  <c:v>1.94</c:v>
                </c:pt>
                <c:pt idx="1">
                  <c:v>1.597</c:v>
                </c:pt>
                <c:pt idx="2">
                  <c:v>1.2450000000000001</c:v>
                </c:pt>
                <c:pt idx="3">
                  <c:v>0.73899999999999999</c:v>
                </c:pt>
                <c:pt idx="4">
                  <c:v>0.51200000000000001</c:v>
                </c:pt>
                <c:pt idx="5">
                  <c:v>0.39</c:v>
                </c:pt>
                <c:pt idx="6">
                  <c:v>0.157</c:v>
                </c:pt>
                <c:pt idx="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5-476A-837C-024838A12DAE}"/>
            </c:ext>
          </c:extLst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Uc/R1,C2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Лист1!$B$1:$I$1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Лист1!$B$3:$I$3</c:f>
              <c:numCache>
                <c:formatCode>General</c:formatCode>
                <c:ptCount val="8"/>
                <c:pt idx="0">
                  <c:v>1.643</c:v>
                </c:pt>
                <c:pt idx="1">
                  <c:v>0.86599999999999999</c:v>
                </c:pt>
                <c:pt idx="2">
                  <c:v>0.55400000000000005</c:v>
                </c:pt>
                <c:pt idx="3">
                  <c:v>0.28499999999999998</c:v>
                </c:pt>
                <c:pt idx="4">
                  <c:v>0.191</c:v>
                </c:pt>
                <c:pt idx="5">
                  <c:v>0.14399999999999999</c:v>
                </c:pt>
                <c:pt idx="6">
                  <c:v>5.7000000000000002E-2</c:v>
                </c:pt>
                <c:pt idx="7">
                  <c:v>1.7999999999999999E-2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5-476A-837C-024838A12DAE}"/>
            </c:ext>
          </c:extLst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Uc/R1,C3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Лист1!$B$1:$I$1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Лист1!$B$4:$I$4</c:f>
              <c:numCache>
                <c:formatCode>General</c:formatCode>
                <c:ptCount val="8"/>
                <c:pt idx="0">
                  <c:v>1.276</c:v>
                </c:pt>
                <c:pt idx="1">
                  <c:v>0.53300000000000003</c:v>
                </c:pt>
                <c:pt idx="2">
                  <c:v>0.32700000000000001</c:v>
                </c:pt>
                <c:pt idx="3">
                  <c:v>0.16500000000000001</c:v>
                </c:pt>
                <c:pt idx="4">
                  <c:v>0.11</c:v>
                </c:pt>
                <c:pt idx="5">
                  <c:v>8.3000000000000004E-2</c:v>
                </c:pt>
                <c:pt idx="6">
                  <c:v>3.3000000000000002E-2</c:v>
                </c:pt>
                <c:pt idx="7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05-476A-837C-024838A12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116160"/>
        <c:axId val="1928114720"/>
      </c:lineChart>
      <c:catAx>
        <c:axId val="192811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8114720"/>
        <c:crosses val="autoZero"/>
        <c:auto val="1"/>
        <c:lblAlgn val="ctr"/>
        <c:lblOffset val="100"/>
        <c:noMultiLvlLbl val="0"/>
      </c:catAx>
      <c:valAx>
        <c:axId val="192811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811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R2 = 1,37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Лист1!$A$6</c:f>
              <c:strCache>
                <c:ptCount val="1"/>
                <c:pt idx="0">
                  <c:v>Uc/R2,C1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Лист1!$B$5:$I$5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Лист1!$B$6:$I$6</c:f>
              <c:numCache>
                <c:formatCode>General</c:formatCode>
                <c:ptCount val="8"/>
                <c:pt idx="0">
                  <c:v>1.917</c:v>
                </c:pt>
                <c:pt idx="1">
                  <c:v>1.4910000000000001</c:v>
                </c:pt>
                <c:pt idx="2">
                  <c:v>1.115</c:v>
                </c:pt>
                <c:pt idx="3">
                  <c:v>0.63600000000000001</c:v>
                </c:pt>
                <c:pt idx="4">
                  <c:v>0.436</c:v>
                </c:pt>
                <c:pt idx="5">
                  <c:v>0.33100000000000002</c:v>
                </c:pt>
                <c:pt idx="6">
                  <c:v>0.13300000000000001</c:v>
                </c:pt>
                <c:pt idx="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1-41AE-9716-29203BD9DAC6}"/>
            </c:ext>
          </c:extLst>
        </c:ser>
        <c:ser>
          <c:idx val="1"/>
          <c:order val="1"/>
          <c:tx>
            <c:strRef>
              <c:f>Лист1!$A$7</c:f>
              <c:strCache>
                <c:ptCount val="1"/>
                <c:pt idx="0">
                  <c:v>Uc/R2,C2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Лист1!$B$5:$I$5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Лист1!$B$7:$I$7</c:f>
              <c:numCache>
                <c:formatCode>General</c:formatCode>
                <c:ptCount val="8"/>
                <c:pt idx="0">
                  <c:v>1.5449999999999999</c:v>
                </c:pt>
                <c:pt idx="1">
                  <c:v>0.751</c:v>
                </c:pt>
                <c:pt idx="2">
                  <c:v>0.47299999999999998</c:v>
                </c:pt>
                <c:pt idx="3">
                  <c:v>0.24099999999999999</c:v>
                </c:pt>
                <c:pt idx="4">
                  <c:v>0.16200000000000001</c:v>
                </c:pt>
                <c:pt idx="5">
                  <c:v>0.121</c:v>
                </c:pt>
                <c:pt idx="6">
                  <c:v>4.8000000000000001E-2</c:v>
                </c:pt>
                <c:pt idx="7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51-41AE-9716-29203BD9DAC6}"/>
            </c:ext>
          </c:extLst>
        </c:ser>
        <c:ser>
          <c:idx val="2"/>
          <c:order val="2"/>
          <c:tx>
            <c:strRef>
              <c:f>Лист1!$A$8</c:f>
              <c:strCache>
                <c:ptCount val="1"/>
                <c:pt idx="0">
                  <c:v>Uc/R2,C3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Лист1!$B$5:$I$5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Лист1!$B$8:$I$8</c:f>
              <c:numCache>
                <c:formatCode>General</c:formatCode>
                <c:ptCount val="8"/>
                <c:pt idx="0">
                  <c:v>1.1459999999999999</c:v>
                </c:pt>
                <c:pt idx="1">
                  <c:v>0.45400000000000001</c:v>
                </c:pt>
                <c:pt idx="2">
                  <c:v>0.27700000000000002</c:v>
                </c:pt>
                <c:pt idx="3">
                  <c:v>0.14000000000000001</c:v>
                </c:pt>
                <c:pt idx="4">
                  <c:v>9.2999999999999999E-2</c:v>
                </c:pt>
                <c:pt idx="5">
                  <c:v>7.0000000000000007E-2</c:v>
                </c:pt>
                <c:pt idx="6">
                  <c:v>2.8000000000000001E-2</c:v>
                </c:pt>
                <c:pt idx="7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51-41AE-9716-29203BD9D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052320"/>
        <c:axId val="1928071520"/>
      </c:lineChart>
      <c:catAx>
        <c:axId val="19280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8071520"/>
        <c:crosses val="autoZero"/>
        <c:auto val="1"/>
        <c:lblAlgn val="ctr"/>
        <c:lblOffset val="100"/>
        <c:noMultiLvlLbl val="0"/>
      </c:catAx>
      <c:valAx>
        <c:axId val="192807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80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R3</a:t>
            </a:r>
            <a:r>
              <a:rPr lang="en-US" baseline="0"/>
              <a:t> = 1,72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Лист1!$A$10</c:f>
              <c:strCache>
                <c:ptCount val="1"/>
                <c:pt idx="0">
                  <c:v>Uc/R3,C1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Лист1!$B$9:$I$9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Лист1!$B$10:$I$10</c:f>
              <c:numCache>
                <c:formatCode>General</c:formatCode>
                <c:ptCount val="8"/>
                <c:pt idx="0">
                  <c:v>1.8919999999999999</c:v>
                </c:pt>
                <c:pt idx="1">
                  <c:v>1.3959999999999999</c:v>
                </c:pt>
                <c:pt idx="2">
                  <c:v>1.01</c:v>
                </c:pt>
                <c:pt idx="3">
                  <c:v>0.56100000000000005</c:v>
                </c:pt>
                <c:pt idx="4">
                  <c:v>0.38300000000000001</c:v>
                </c:pt>
                <c:pt idx="5">
                  <c:v>0.28899999999999998</c:v>
                </c:pt>
                <c:pt idx="6">
                  <c:v>0.11600000000000001</c:v>
                </c:pt>
                <c:pt idx="7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9-4813-9483-AF838915B915}"/>
            </c:ext>
          </c:extLst>
        </c:ser>
        <c:ser>
          <c:idx val="1"/>
          <c:order val="1"/>
          <c:tx>
            <c:strRef>
              <c:f>Лист1!$A$11</c:f>
              <c:strCache>
                <c:ptCount val="1"/>
                <c:pt idx="0">
                  <c:v>Uc/R3,C2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Лист1!$B$9:$I$9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Лист1!$B$11:$I$11</c:f>
              <c:numCache>
                <c:formatCode>General</c:formatCode>
                <c:ptCount val="8"/>
                <c:pt idx="0">
                  <c:v>1.4550000000000001</c:v>
                </c:pt>
                <c:pt idx="1">
                  <c:v>0.66600000000000004</c:v>
                </c:pt>
                <c:pt idx="2">
                  <c:v>0.41399999999999998</c:v>
                </c:pt>
                <c:pt idx="3">
                  <c:v>0.21099999999999999</c:v>
                </c:pt>
                <c:pt idx="4">
                  <c:v>0.14000000000000001</c:v>
                </c:pt>
                <c:pt idx="5">
                  <c:v>0.106</c:v>
                </c:pt>
                <c:pt idx="6">
                  <c:v>4.2000000000000003E-2</c:v>
                </c:pt>
                <c:pt idx="7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9-4813-9483-AF838915B915}"/>
            </c:ext>
          </c:extLst>
        </c:ser>
        <c:ser>
          <c:idx val="2"/>
          <c:order val="2"/>
          <c:tx>
            <c:strRef>
              <c:f>Лист1!$A$12</c:f>
              <c:strCache>
                <c:ptCount val="1"/>
                <c:pt idx="0">
                  <c:v>Uc/R3,C3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Лист1!$B$9:$I$9</c:f>
              <c:strCache>
                <c:ptCount val="8"/>
                <c:pt idx="0">
                  <c:v>0.1кГц</c:v>
                </c:pt>
                <c:pt idx="1">
                  <c:v>0.3кГц</c:v>
                </c:pt>
                <c:pt idx="2">
                  <c:v>0.5кГц</c:v>
                </c:pt>
                <c:pt idx="3">
                  <c:v>1кГц</c:v>
                </c:pt>
                <c:pt idx="4">
                  <c:v>1,5кГц</c:v>
                </c:pt>
                <c:pt idx="5">
                  <c:v>2кГц</c:v>
                </c:pt>
                <c:pt idx="6">
                  <c:v>5кГц</c:v>
                </c:pt>
                <c:pt idx="7">
                  <c:v>15кГц</c:v>
                </c:pt>
              </c:strCache>
            </c:strRef>
          </c:cat>
          <c:val>
            <c:numRef>
              <c:f>Лист1!$B$12:$I$12</c:f>
              <c:numCache>
                <c:formatCode>General</c:formatCode>
                <c:ptCount val="8"/>
                <c:pt idx="0">
                  <c:v>1.0409999999999999</c:v>
                </c:pt>
                <c:pt idx="1">
                  <c:v>0.39800000000000002</c:v>
                </c:pt>
                <c:pt idx="2">
                  <c:v>0.24199999999999999</c:v>
                </c:pt>
                <c:pt idx="3">
                  <c:v>0.122</c:v>
                </c:pt>
                <c:pt idx="4">
                  <c:v>8.1000000000000003E-2</c:v>
                </c:pt>
                <c:pt idx="5">
                  <c:v>0.06</c:v>
                </c:pt>
                <c:pt idx="6">
                  <c:v>2.4E-2</c:v>
                </c:pt>
                <c:pt idx="7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29-4813-9483-AF838915B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056160"/>
        <c:axId val="1928061920"/>
      </c:lineChart>
      <c:catAx>
        <c:axId val="19280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8061920"/>
        <c:crosses val="autoZero"/>
        <c:auto val="1"/>
        <c:lblAlgn val="ctr"/>
        <c:lblOffset val="100"/>
        <c:noMultiLvlLbl val="0"/>
      </c:catAx>
      <c:valAx>
        <c:axId val="19280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805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R1 = 1</a:t>
            </a:r>
            <a:r>
              <a:rPr lang="ru-RU" sz="1400" b="0" i="0" u="none" strike="noStrike" baseline="0">
                <a:effectLst/>
              </a:rPr>
              <a:t>кОм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Лист2!$A$2</c:f>
              <c:strCache>
                <c:ptCount val="1"/>
                <c:pt idx="0">
                  <c:v>UL/R1,L1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Лист2!$B$1:$I$1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Лист2!$B$2:$I$2</c:f>
              <c:numCache>
                <c:formatCode>General</c:formatCode>
                <c:ptCount val="8"/>
                <c:pt idx="0">
                  <c:v>1.0999999999999999E-2</c:v>
                </c:pt>
                <c:pt idx="1">
                  <c:v>2.1999999999999999E-2</c:v>
                </c:pt>
                <c:pt idx="2">
                  <c:v>3.3000000000000002E-2</c:v>
                </c:pt>
                <c:pt idx="3">
                  <c:v>4.3999999999999997E-2</c:v>
                </c:pt>
                <c:pt idx="4">
                  <c:v>5.5E-2</c:v>
                </c:pt>
                <c:pt idx="5">
                  <c:v>6.6000000000000003E-2</c:v>
                </c:pt>
                <c:pt idx="6">
                  <c:v>7.6999999999999999E-2</c:v>
                </c:pt>
                <c:pt idx="7">
                  <c:v>0.111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E-45A3-A8F9-0F768BB8F737}"/>
            </c:ext>
          </c:extLst>
        </c:ser>
        <c:ser>
          <c:idx val="1"/>
          <c:order val="1"/>
          <c:tx>
            <c:strRef>
              <c:f>Лист2!$A$3</c:f>
              <c:strCache>
                <c:ptCount val="1"/>
                <c:pt idx="0">
                  <c:v>UL/R1,L2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Лист2!$B$1:$I$1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Лист2!$B$3:$I$3</c:f>
              <c:numCache>
                <c:formatCode>General</c:formatCode>
                <c:ptCount val="8"/>
                <c:pt idx="0">
                  <c:v>2.1000000000000001E-2</c:v>
                </c:pt>
                <c:pt idx="1">
                  <c:v>4.2999999999999997E-2</c:v>
                </c:pt>
                <c:pt idx="2">
                  <c:v>6.4000000000000001E-2</c:v>
                </c:pt>
                <c:pt idx="3">
                  <c:v>8.5000000000000006E-2</c:v>
                </c:pt>
                <c:pt idx="4">
                  <c:v>0.107</c:v>
                </c:pt>
                <c:pt idx="5">
                  <c:v>0.128</c:v>
                </c:pt>
                <c:pt idx="6">
                  <c:v>0.15</c:v>
                </c:pt>
                <c:pt idx="7">
                  <c:v>0.214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E-45A3-A8F9-0F768BB8F737}"/>
            </c:ext>
          </c:extLst>
        </c:ser>
        <c:ser>
          <c:idx val="2"/>
          <c:order val="2"/>
          <c:tx>
            <c:strRef>
              <c:f>Лист2!$A$4</c:f>
              <c:strCache>
                <c:ptCount val="1"/>
                <c:pt idx="0">
                  <c:v>UL/R1,L3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Лист2!$B$1:$I$1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Лист2!$B$4:$I$4</c:f>
              <c:numCache>
                <c:formatCode>General</c:formatCode>
                <c:ptCount val="8"/>
                <c:pt idx="0">
                  <c:v>2.9000000000000001E-2</c:v>
                </c:pt>
                <c:pt idx="1">
                  <c:v>5.8999999999999997E-2</c:v>
                </c:pt>
                <c:pt idx="2">
                  <c:v>8.7999999999999995E-2</c:v>
                </c:pt>
                <c:pt idx="3">
                  <c:v>0.11799999999999999</c:v>
                </c:pt>
                <c:pt idx="4">
                  <c:v>0.14699999999999999</c:v>
                </c:pt>
                <c:pt idx="5">
                  <c:v>0.17599999999999999</c:v>
                </c:pt>
                <c:pt idx="6">
                  <c:v>0.20599999999999999</c:v>
                </c:pt>
                <c:pt idx="7">
                  <c:v>0.29299999999999998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E-45A3-A8F9-0F768BB8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152960"/>
        <c:axId val="1336146240"/>
      </c:lineChart>
      <c:catAx>
        <c:axId val="13361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146240"/>
        <c:crosses val="autoZero"/>
        <c:auto val="1"/>
        <c:lblAlgn val="ctr"/>
        <c:lblOffset val="100"/>
        <c:noMultiLvlLbl val="0"/>
      </c:catAx>
      <c:valAx>
        <c:axId val="13361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1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R2</a:t>
            </a:r>
            <a:r>
              <a:rPr lang="en-US" baseline="0"/>
              <a:t> = 1,37</a:t>
            </a:r>
            <a:r>
              <a:rPr lang="ru-RU" baseline="0"/>
              <a:t>кОм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Лист2!$A$6</c:f>
              <c:strCache>
                <c:ptCount val="1"/>
                <c:pt idx="0">
                  <c:v>UL/R2,L1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Лист2!$B$1:$I$1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Лист2!$B$6:$I$6</c:f>
              <c:numCache>
                <c:formatCode>General</c:formatCode>
                <c:ptCount val="8"/>
                <c:pt idx="0">
                  <c:v>8.9999999999999993E-3</c:v>
                </c:pt>
                <c:pt idx="1">
                  <c:v>1.9E-2</c:v>
                </c:pt>
                <c:pt idx="2">
                  <c:v>2.8000000000000001E-2</c:v>
                </c:pt>
                <c:pt idx="3">
                  <c:v>3.6999999999999998E-2</c:v>
                </c:pt>
                <c:pt idx="4">
                  <c:v>4.5999999999999999E-2</c:v>
                </c:pt>
                <c:pt idx="5">
                  <c:v>5.6000000000000001E-2</c:v>
                </c:pt>
                <c:pt idx="6">
                  <c:v>6.5000000000000002E-2</c:v>
                </c:pt>
                <c:pt idx="7">
                  <c:v>9.2999999999999999E-2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1DC-AAB9-0BBD37BD2044}"/>
            </c:ext>
          </c:extLst>
        </c:ser>
        <c:ser>
          <c:idx val="1"/>
          <c:order val="1"/>
          <c:tx>
            <c:strRef>
              <c:f>Лист2!$A$7</c:f>
              <c:strCache>
                <c:ptCount val="1"/>
                <c:pt idx="0">
                  <c:v>UL/R2,L2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Лист2!$B$1:$I$1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Лист2!$B$7:$I$7</c:f>
              <c:numCache>
                <c:formatCode>General</c:formatCode>
                <c:ptCount val="8"/>
                <c:pt idx="0">
                  <c:v>1.7999999999999999E-2</c:v>
                </c:pt>
                <c:pt idx="1">
                  <c:v>3.5999999999999997E-2</c:v>
                </c:pt>
                <c:pt idx="2">
                  <c:v>5.3999999999999999E-2</c:v>
                </c:pt>
                <c:pt idx="3">
                  <c:v>7.1999999999999995E-2</c:v>
                </c:pt>
                <c:pt idx="4">
                  <c:v>0.09</c:v>
                </c:pt>
                <c:pt idx="5">
                  <c:v>0.108</c:v>
                </c:pt>
                <c:pt idx="6">
                  <c:v>0.126</c:v>
                </c:pt>
                <c:pt idx="7">
                  <c:v>0.18099999999999999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1DC-AAB9-0BBD37BD2044}"/>
            </c:ext>
          </c:extLst>
        </c:ser>
        <c:ser>
          <c:idx val="2"/>
          <c:order val="2"/>
          <c:tx>
            <c:strRef>
              <c:f>Лист2!$A$8</c:f>
              <c:strCache>
                <c:ptCount val="1"/>
                <c:pt idx="0">
                  <c:v>UL/R2,L3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Лист2!$B$1:$I$1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Лист2!$B$8:$I$8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7.3999999999999996E-2</c:v>
                </c:pt>
                <c:pt idx="3">
                  <c:v>9.9000000000000005E-2</c:v>
                </c:pt>
                <c:pt idx="4">
                  <c:v>0.124</c:v>
                </c:pt>
                <c:pt idx="5">
                  <c:v>0.14899999999999999</c:v>
                </c:pt>
                <c:pt idx="6">
                  <c:v>0.17399999999999999</c:v>
                </c:pt>
                <c:pt idx="7">
                  <c:v>0.248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1DC-AAB9-0BBD37BD2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966848"/>
        <c:axId val="1336137120"/>
      </c:lineChart>
      <c:catAx>
        <c:axId val="11739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137120"/>
        <c:crosses val="autoZero"/>
        <c:auto val="1"/>
        <c:lblAlgn val="ctr"/>
        <c:lblOffset val="100"/>
        <c:noMultiLvlLbl val="0"/>
      </c:catAx>
      <c:valAx>
        <c:axId val="13361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9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R3</a:t>
            </a:r>
            <a:r>
              <a:rPr lang="en-US" baseline="0"/>
              <a:t> = 1,72</a:t>
            </a:r>
            <a:r>
              <a:rPr lang="ru-RU" baseline="0"/>
              <a:t>кОм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Лист2!$A$10</c:f>
              <c:strCache>
                <c:ptCount val="1"/>
                <c:pt idx="0">
                  <c:v>UL/R3,L1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Лист2!$B$9:$I$9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Лист2!$B$10:$I$10</c:f>
              <c:numCache>
                <c:formatCode>General</c:formatCode>
                <c:ptCount val="8"/>
                <c:pt idx="0">
                  <c:v>8.0000000000000002E-3</c:v>
                </c:pt>
                <c:pt idx="1">
                  <c:v>1.6E-2</c:v>
                </c:pt>
                <c:pt idx="2">
                  <c:v>2.4E-2</c:v>
                </c:pt>
                <c:pt idx="3">
                  <c:v>3.2000000000000001E-2</c:v>
                </c:pt>
                <c:pt idx="4">
                  <c:v>4.1000000000000002E-2</c:v>
                </c:pt>
                <c:pt idx="5">
                  <c:v>4.9000000000000002E-2</c:v>
                </c:pt>
                <c:pt idx="6">
                  <c:v>5.7000000000000002E-2</c:v>
                </c:pt>
                <c:pt idx="7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4-4559-94FD-5984C882A541}"/>
            </c:ext>
          </c:extLst>
        </c:ser>
        <c:ser>
          <c:idx val="1"/>
          <c:order val="1"/>
          <c:tx>
            <c:strRef>
              <c:f>Лист2!$A$11</c:f>
              <c:strCache>
                <c:ptCount val="1"/>
                <c:pt idx="0">
                  <c:v>UL/R3,L2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Лист2!$B$9:$I$9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Лист2!$B$11:$I$11</c:f>
              <c:numCache>
                <c:formatCode>General</c:formatCode>
                <c:ptCount val="8"/>
                <c:pt idx="0">
                  <c:v>1.6E-2</c:v>
                </c:pt>
                <c:pt idx="1">
                  <c:v>3.1E-2</c:v>
                </c:pt>
                <c:pt idx="2">
                  <c:v>4.7E-2</c:v>
                </c:pt>
                <c:pt idx="3">
                  <c:v>6.3E-2</c:v>
                </c:pt>
                <c:pt idx="4">
                  <c:v>7.9000000000000001E-2</c:v>
                </c:pt>
                <c:pt idx="5">
                  <c:v>9.4E-2</c:v>
                </c:pt>
                <c:pt idx="6">
                  <c:v>0.11</c:v>
                </c:pt>
                <c:pt idx="7">
                  <c:v>0.158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4-4559-94FD-5984C882A541}"/>
            </c:ext>
          </c:extLst>
        </c:ser>
        <c:ser>
          <c:idx val="2"/>
          <c:order val="2"/>
          <c:tx>
            <c:strRef>
              <c:f>Лист2!$A$12</c:f>
              <c:strCache>
                <c:ptCount val="1"/>
                <c:pt idx="0">
                  <c:v>UL/R3,L3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Лист2!$B$9:$I$9</c:f>
              <c:strCache>
                <c:ptCount val="8"/>
                <c:pt idx="0">
                  <c:v>0.5кГц</c:v>
                </c:pt>
                <c:pt idx="1">
                  <c:v>1кГц</c:v>
                </c:pt>
                <c:pt idx="2">
                  <c:v>1,5кГц</c:v>
                </c:pt>
                <c:pt idx="3">
                  <c:v>2кГц</c:v>
                </c:pt>
                <c:pt idx="4">
                  <c:v>2,5кГц</c:v>
                </c:pt>
                <c:pt idx="5">
                  <c:v>3кГц</c:v>
                </c:pt>
                <c:pt idx="6">
                  <c:v>3,5кГц</c:v>
                </c:pt>
                <c:pt idx="7">
                  <c:v>5кГц</c:v>
                </c:pt>
              </c:strCache>
            </c:strRef>
          </c:cat>
          <c:val>
            <c:numRef>
              <c:f>Лист2!$B$12:$I$12</c:f>
              <c:numCache>
                <c:formatCode>General</c:formatCode>
                <c:ptCount val="8"/>
                <c:pt idx="0">
                  <c:v>2.1999999999999999E-2</c:v>
                </c:pt>
                <c:pt idx="1">
                  <c:v>4.2999999999999997E-2</c:v>
                </c:pt>
                <c:pt idx="2">
                  <c:v>6.5000000000000002E-2</c:v>
                </c:pt>
                <c:pt idx="3">
                  <c:v>8.5000000000000006E-2</c:v>
                </c:pt>
                <c:pt idx="4">
                  <c:v>0.108</c:v>
                </c:pt>
                <c:pt idx="5">
                  <c:v>0.13</c:v>
                </c:pt>
                <c:pt idx="6">
                  <c:v>0.152</c:v>
                </c:pt>
                <c:pt idx="7">
                  <c:v>0.217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4-4559-94FD-5984C882A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239696"/>
        <c:axId val="1396231536"/>
      </c:lineChart>
      <c:catAx>
        <c:axId val="13962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231536"/>
        <c:crosses val="autoZero"/>
        <c:auto val="1"/>
        <c:lblAlgn val="ctr"/>
        <c:lblOffset val="100"/>
        <c:noMultiLvlLbl val="0"/>
      </c:catAx>
      <c:valAx>
        <c:axId val="13962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23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</xdr:colOff>
      <xdr:row>0</xdr:row>
      <xdr:rowOff>133350</xdr:rowOff>
    </xdr:from>
    <xdr:to>
      <xdr:col>18</xdr:col>
      <xdr:colOff>365760</xdr:colOff>
      <xdr:row>15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4444E6E-8961-12BE-7BD5-298A8A610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121920</xdr:colOff>
      <xdr:row>16</xdr:row>
      <xdr:rowOff>26670</xdr:rowOff>
    </xdr:from>
    <xdr:to>
      <xdr:col>18</xdr:col>
      <xdr:colOff>426720</xdr:colOff>
      <xdr:row>31</xdr:row>
      <xdr:rowOff>26670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0DF089C-1E48-FA0D-810A-32E684C70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76200</xdr:colOff>
      <xdr:row>16</xdr:row>
      <xdr:rowOff>26670</xdr:rowOff>
    </xdr:from>
    <xdr:to>
      <xdr:col>26</xdr:col>
      <xdr:colOff>381000</xdr:colOff>
      <xdr:row>31</xdr:row>
      <xdr:rowOff>26670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FB9FECF-7E65-7C6B-1245-DACBEF150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335280</xdr:colOff>
      <xdr:row>2</xdr:row>
      <xdr:rowOff>102870</xdr:rowOff>
    </xdr:from>
    <xdr:to>
      <xdr:col>19</xdr:col>
      <xdr:colOff>30480</xdr:colOff>
      <xdr:row>19</xdr:row>
      <xdr:rowOff>102870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7F16A36-8122-3738-37E2-1AD1D4791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76200</xdr:colOff>
      <xdr:row>2</xdr:row>
      <xdr:rowOff>87630</xdr:rowOff>
    </xdr:from>
    <xdr:to>
      <xdr:col>26</xdr:col>
      <xdr:colOff>381000</xdr:colOff>
      <xdr:row>19</xdr:row>
      <xdr:rowOff>87630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565E4E2-D075-4477-1C1A-80728B825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312420</xdr:colOff>
      <xdr:row>20</xdr:row>
      <xdr:rowOff>3810</xdr:rowOff>
    </xdr:from>
    <xdr:to>
      <xdr:col>19</xdr:col>
      <xdr:colOff>7620</xdr:colOff>
      <xdr:row>35</xdr:row>
      <xdr:rowOff>3810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70E106C9-F8FE-2267-7898-16FE37547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opLeftCell="G1" workbookViewId="0">
      <selection activeCell="X11" sqref="X11"/>
    </sheetView>
  </sheetViews>
  <sheetFormatPr defaultRowHeight="14.4" x14ac:dyDescent="0.3"/>
  <cols>
    <col min="1" max="1" width="18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f>1.94</f>
        <v>1.94</v>
      </c>
      <c r="C2">
        <f>1.597</f>
        <v>1.597</v>
      </c>
      <c r="D2">
        <f>1.245</f>
        <v>1.2450000000000001</v>
      </c>
      <c r="E2">
        <f>0.739</f>
        <v>0.73899999999999999</v>
      </c>
      <c r="F2">
        <f>0.512</f>
        <v>0.51200000000000001</v>
      </c>
      <c r="G2">
        <f>0.39</f>
        <v>0.39</v>
      </c>
      <c r="H2">
        <f>0.157</f>
        <v>0.157</v>
      </c>
      <c r="I2">
        <f>0.052</f>
        <v>5.1999999999999998E-2</v>
      </c>
    </row>
    <row r="3" spans="1:9" x14ac:dyDescent="0.3">
      <c r="A3" t="s">
        <v>10</v>
      </c>
      <c r="B3">
        <v>1.643</v>
      </c>
      <c r="C3">
        <v>0.86599999999999999</v>
      </c>
      <c r="D3">
        <v>0.55400000000000005</v>
      </c>
      <c r="E3">
        <v>0.28499999999999998</v>
      </c>
      <c r="F3">
        <v>0.191</v>
      </c>
      <c r="G3">
        <v>0.14399999999999999</v>
      </c>
      <c r="H3">
        <v>5.7000000000000002E-2</v>
      </c>
      <c r="I3">
        <v>1.7999999999999999E-2</v>
      </c>
    </row>
    <row r="4" spans="1:9" x14ac:dyDescent="0.3">
      <c r="A4" t="s">
        <v>11</v>
      </c>
      <c r="B4">
        <v>1.276</v>
      </c>
      <c r="C4">
        <v>0.53300000000000003</v>
      </c>
      <c r="D4">
        <v>0.32700000000000001</v>
      </c>
      <c r="E4">
        <v>0.16500000000000001</v>
      </c>
      <c r="F4">
        <v>0.11</v>
      </c>
      <c r="G4">
        <v>8.3000000000000004E-2</v>
      </c>
      <c r="H4">
        <v>3.3000000000000002E-2</v>
      </c>
      <c r="I4">
        <v>1.0999999999999999E-2</v>
      </c>
    </row>
    <row r="5" spans="1:9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s="1" t="s">
        <v>5</v>
      </c>
      <c r="G5" t="s">
        <v>6</v>
      </c>
      <c r="H5" t="s">
        <v>7</v>
      </c>
      <c r="I5" t="s">
        <v>8</v>
      </c>
    </row>
    <row r="6" spans="1:9" x14ac:dyDescent="0.3">
      <c r="A6" t="s">
        <v>12</v>
      </c>
      <c r="B6">
        <v>1.917</v>
      </c>
      <c r="C6">
        <v>1.4910000000000001</v>
      </c>
      <c r="D6">
        <v>1.115</v>
      </c>
      <c r="E6">
        <v>0.63600000000000001</v>
      </c>
      <c r="F6">
        <v>0.436</v>
      </c>
      <c r="G6">
        <v>0.33100000000000002</v>
      </c>
      <c r="H6">
        <v>0.13300000000000001</v>
      </c>
      <c r="I6">
        <v>4.3999999999999997E-2</v>
      </c>
    </row>
    <row r="7" spans="1:9" x14ac:dyDescent="0.3">
      <c r="A7" t="s">
        <v>13</v>
      </c>
      <c r="B7">
        <v>1.5449999999999999</v>
      </c>
      <c r="C7">
        <v>0.751</v>
      </c>
      <c r="D7">
        <v>0.47299999999999998</v>
      </c>
      <c r="E7">
        <v>0.24099999999999999</v>
      </c>
      <c r="F7">
        <f>0.162</f>
        <v>0.16200000000000001</v>
      </c>
      <c r="G7">
        <v>0.121</v>
      </c>
      <c r="H7">
        <v>4.8000000000000001E-2</v>
      </c>
      <c r="I7">
        <v>1.6E-2</v>
      </c>
    </row>
    <row r="8" spans="1:9" x14ac:dyDescent="0.3">
      <c r="A8" t="s">
        <v>14</v>
      </c>
      <c r="B8">
        <v>1.1459999999999999</v>
      </c>
      <c r="C8">
        <v>0.45400000000000001</v>
      </c>
      <c r="D8">
        <v>0.27700000000000002</v>
      </c>
      <c r="E8">
        <v>0.14000000000000001</v>
      </c>
      <c r="F8">
        <v>9.2999999999999999E-2</v>
      </c>
      <c r="G8">
        <v>7.0000000000000007E-2</v>
      </c>
      <c r="H8">
        <v>2.8000000000000001E-2</v>
      </c>
      <c r="I8">
        <v>8.9999999999999993E-3</v>
      </c>
    </row>
    <row r="9" spans="1: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s="1" t="s">
        <v>5</v>
      </c>
      <c r="G9" t="s">
        <v>6</v>
      </c>
      <c r="H9" t="s">
        <v>7</v>
      </c>
      <c r="I9" t="s">
        <v>8</v>
      </c>
    </row>
    <row r="10" spans="1:9" x14ac:dyDescent="0.3">
      <c r="A10" t="s">
        <v>15</v>
      </c>
      <c r="B10">
        <v>1.8919999999999999</v>
      </c>
      <c r="C10">
        <v>1.3959999999999999</v>
      </c>
      <c r="D10">
        <v>1.01</v>
      </c>
      <c r="E10">
        <v>0.56100000000000005</v>
      </c>
      <c r="F10">
        <v>0.38300000000000001</v>
      </c>
      <c r="G10">
        <v>0.28899999999999998</v>
      </c>
      <c r="H10">
        <v>0.11600000000000001</v>
      </c>
      <c r="I10">
        <v>3.7999999999999999E-2</v>
      </c>
    </row>
    <row r="11" spans="1:9" x14ac:dyDescent="0.3">
      <c r="A11" t="s">
        <v>16</v>
      </c>
      <c r="B11">
        <v>1.4550000000000001</v>
      </c>
      <c r="C11">
        <v>0.66600000000000004</v>
      </c>
      <c r="D11">
        <v>0.41399999999999998</v>
      </c>
      <c r="E11">
        <v>0.21099999999999999</v>
      </c>
      <c r="F11">
        <v>0.14000000000000001</v>
      </c>
      <c r="G11">
        <v>0.106</v>
      </c>
      <c r="H11">
        <v>4.2000000000000003E-2</v>
      </c>
      <c r="I11">
        <v>1.4E-2</v>
      </c>
    </row>
    <row r="12" spans="1:9" x14ac:dyDescent="0.3">
      <c r="A12" t="s">
        <v>17</v>
      </c>
      <c r="B12">
        <v>1.0409999999999999</v>
      </c>
      <c r="C12">
        <v>0.39800000000000002</v>
      </c>
      <c r="D12">
        <v>0.24199999999999999</v>
      </c>
      <c r="E12">
        <v>0.122</v>
      </c>
      <c r="F12">
        <v>8.1000000000000003E-2</v>
      </c>
      <c r="G12">
        <v>0.06</v>
      </c>
      <c r="H12">
        <v>2.4E-2</v>
      </c>
      <c r="I12">
        <v>8.0000000000000002E-3</v>
      </c>
    </row>
    <row r="15" spans="1:9" x14ac:dyDescent="0.3">
      <c r="A15" t="s">
        <v>19</v>
      </c>
      <c r="B15" t="s">
        <v>20</v>
      </c>
      <c r="C15" t="s">
        <v>21</v>
      </c>
    </row>
    <row r="16" spans="1:9" x14ac:dyDescent="0.3">
      <c r="A16" t="s">
        <v>38</v>
      </c>
      <c r="B16" t="s">
        <v>18</v>
      </c>
      <c r="C16" t="s">
        <v>37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E893-37AF-4CA6-B2DC-5757C327FE43}">
  <dimension ref="A1:I16"/>
  <sheetViews>
    <sheetView tabSelected="1" workbookViewId="0">
      <selection activeCell="I21" sqref="I21"/>
    </sheetView>
  </sheetViews>
  <sheetFormatPr defaultRowHeight="14.4" x14ac:dyDescent="0.3"/>
  <sheetData>
    <row r="1" spans="1:9" x14ac:dyDescent="0.3">
      <c r="A1" t="s">
        <v>0</v>
      </c>
      <c r="B1" t="s">
        <v>3</v>
      </c>
      <c r="C1" t="s">
        <v>4</v>
      </c>
      <c r="D1" s="1" t="s">
        <v>5</v>
      </c>
      <c r="E1" t="s">
        <v>6</v>
      </c>
      <c r="F1" t="s">
        <v>31</v>
      </c>
      <c r="G1" t="s">
        <v>32</v>
      </c>
      <c r="H1" t="s">
        <v>33</v>
      </c>
      <c r="I1" t="s">
        <v>7</v>
      </c>
    </row>
    <row r="2" spans="1:9" x14ac:dyDescent="0.3">
      <c r="A2" t="s">
        <v>22</v>
      </c>
      <c r="B2">
        <v>1.0999999999999999E-2</v>
      </c>
      <c r="C2">
        <v>2.1999999999999999E-2</v>
      </c>
      <c r="D2">
        <v>3.3000000000000002E-2</v>
      </c>
      <c r="E2">
        <v>4.3999999999999997E-2</v>
      </c>
      <c r="F2">
        <v>5.5E-2</v>
      </c>
      <c r="G2">
        <v>6.6000000000000003E-2</v>
      </c>
      <c r="H2">
        <v>7.6999999999999999E-2</v>
      </c>
      <c r="I2">
        <v>0.111</v>
      </c>
    </row>
    <row r="3" spans="1:9" x14ac:dyDescent="0.3">
      <c r="A3" t="s">
        <v>23</v>
      </c>
      <c r="B3">
        <v>2.1000000000000001E-2</v>
      </c>
      <c r="C3">
        <v>4.2999999999999997E-2</v>
      </c>
      <c r="D3">
        <v>6.4000000000000001E-2</v>
      </c>
      <c r="E3">
        <v>8.5000000000000006E-2</v>
      </c>
      <c r="F3">
        <v>0.107</v>
      </c>
      <c r="G3">
        <v>0.128</v>
      </c>
      <c r="H3">
        <v>0.15</v>
      </c>
      <c r="I3">
        <v>0.214</v>
      </c>
    </row>
    <row r="4" spans="1:9" x14ac:dyDescent="0.3">
      <c r="A4" t="s">
        <v>24</v>
      </c>
      <c r="B4">
        <v>2.9000000000000001E-2</v>
      </c>
      <c r="C4">
        <v>5.8999999999999997E-2</v>
      </c>
      <c r="D4">
        <v>8.7999999999999995E-2</v>
      </c>
      <c r="E4">
        <v>0.11799999999999999</v>
      </c>
      <c r="F4">
        <v>0.14699999999999999</v>
      </c>
      <c r="G4">
        <v>0.17599999999999999</v>
      </c>
      <c r="H4">
        <v>0.20599999999999999</v>
      </c>
      <c r="I4">
        <v>0.29299999999999998</v>
      </c>
    </row>
    <row r="5" spans="1:9" x14ac:dyDescent="0.3">
      <c r="B5" t="s">
        <v>3</v>
      </c>
      <c r="C5" t="s">
        <v>4</v>
      </c>
      <c r="D5" s="1" t="s">
        <v>5</v>
      </c>
      <c r="E5" t="s">
        <v>6</v>
      </c>
      <c r="F5" t="s">
        <v>31</v>
      </c>
      <c r="G5" t="s">
        <v>32</v>
      </c>
      <c r="H5" t="s">
        <v>33</v>
      </c>
      <c r="I5" t="s">
        <v>7</v>
      </c>
    </row>
    <row r="6" spans="1:9" x14ac:dyDescent="0.3">
      <c r="A6" t="s">
        <v>25</v>
      </c>
      <c r="B6">
        <v>8.9999999999999993E-3</v>
      </c>
      <c r="C6">
        <v>1.9E-2</v>
      </c>
      <c r="D6">
        <v>2.8000000000000001E-2</v>
      </c>
      <c r="E6">
        <v>3.6999999999999998E-2</v>
      </c>
      <c r="F6">
        <v>4.5999999999999999E-2</v>
      </c>
      <c r="G6">
        <v>5.6000000000000001E-2</v>
      </c>
      <c r="H6">
        <v>6.5000000000000002E-2</v>
      </c>
      <c r="I6">
        <v>9.2999999999999999E-2</v>
      </c>
    </row>
    <row r="7" spans="1:9" x14ac:dyDescent="0.3">
      <c r="A7" t="s">
        <v>26</v>
      </c>
      <c r="B7">
        <v>1.7999999999999999E-2</v>
      </c>
      <c r="C7">
        <v>3.5999999999999997E-2</v>
      </c>
      <c r="D7">
        <v>5.3999999999999999E-2</v>
      </c>
      <c r="E7">
        <v>7.1999999999999995E-2</v>
      </c>
      <c r="F7">
        <v>0.09</v>
      </c>
      <c r="G7">
        <v>0.108</v>
      </c>
      <c r="H7">
        <v>0.126</v>
      </c>
      <c r="I7">
        <v>0.18099999999999999</v>
      </c>
    </row>
    <row r="8" spans="1:9" x14ac:dyDescent="0.3">
      <c r="A8" t="s">
        <v>27</v>
      </c>
      <c r="B8">
        <v>2.5000000000000001E-2</v>
      </c>
      <c r="C8">
        <v>0.05</v>
      </c>
      <c r="D8">
        <v>7.3999999999999996E-2</v>
      </c>
      <c r="E8">
        <v>9.9000000000000005E-2</v>
      </c>
      <c r="F8">
        <v>0.124</v>
      </c>
      <c r="G8">
        <v>0.14899999999999999</v>
      </c>
      <c r="H8">
        <v>0.17399999999999999</v>
      </c>
      <c r="I8">
        <v>0.248</v>
      </c>
    </row>
    <row r="9" spans="1:9" x14ac:dyDescent="0.3">
      <c r="B9" t="s">
        <v>3</v>
      </c>
      <c r="C9" t="s">
        <v>4</v>
      </c>
      <c r="D9" s="1" t="s">
        <v>5</v>
      </c>
      <c r="E9" t="s">
        <v>6</v>
      </c>
      <c r="F9" t="s">
        <v>31</v>
      </c>
      <c r="G9" t="s">
        <v>32</v>
      </c>
      <c r="H9" t="s">
        <v>33</v>
      </c>
      <c r="I9" t="s">
        <v>7</v>
      </c>
    </row>
    <row r="10" spans="1:9" x14ac:dyDescent="0.3">
      <c r="A10" t="s">
        <v>28</v>
      </c>
      <c r="B10">
        <v>8.0000000000000002E-3</v>
      </c>
      <c r="C10">
        <v>1.6E-2</v>
      </c>
      <c r="D10">
        <v>2.4E-2</v>
      </c>
      <c r="E10">
        <v>3.2000000000000001E-2</v>
      </c>
      <c r="F10">
        <v>4.1000000000000002E-2</v>
      </c>
      <c r="G10">
        <v>4.9000000000000002E-2</v>
      </c>
      <c r="H10">
        <v>5.7000000000000002E-2</v>
      </c>
      <c r="I10">
        <v>8.1000000000000003E-2</v>
      </c>
    </row>
    <row r="11" spans="1:9" x14ac:dyDescent="0.3">
      <c r="A11" t="s">
        <v>29</v>
      </c>
      <c r="B11">
        <v>1.6E-2</v>
      </c>
      <c r="C11">
        <v>3.1E-2</v>
      </c>
      <c r="D11">
        <v>4.7E-2</v>
      </c>
      <c r="E11">
        <v>6.3E-2</v>
      </c>
      <c r="F11">
        <v>7.9000000000000001E-2</v>
      </c>
      <c r="G11">
        <v>9.4E-2</v>
      </c>
      <c r="H11">
        <v>0.11</v>
      </c>
      <c r="I11">
        <v>0.158</v>
      </c>
    </row>
    <row r="12" spans="1:9" x14ac:dyDescent="0.3">
      <c r="A12" t="s">
        <v>30</v>
      </c>
      <c r="B12">
        <v>2.1999999999999999E-2</v>
      </c>
      <c r="C12">
        <v>4.2999999999999997E-2</v>
      </c>
      <c r="D12">
        <v>6.5000000000000002E-2</v>
      </c>
      <c r="E12">
        <v>8.5000000000000006E-2</v>
      </c>
      <c r="F12">
        <v>0.108</v>
      </c>
      <c r="G12">
        <v>0.13</v>
      </c>
      <c r="H12">
        <v>0.152</v>
      </c>
      <c r="I12">
        <v>0.217</v>
      </c>
    </row>
    <row r="15" spans="1:9" x14ac:dyDescent="0.3">
      <c r="A15" t="s">
        <v>19</v>
      </c>
      <c r="B15" t="s">
        <v>20</v>
      </c>
      <c r="C15" t="s">
        <v>21</v>
      </c>
    </row>
    <row r="16" spans="1:9" x14ac:dyDescent="0.3">
      <c r="A16" t="s">
        <v>36</v>
      </c>
      <c r="B16" t="s">
        <v>35</v>
      </c>
      <c r="C16" t="s">
        <v>34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Sparta</dc:creator>
  <cp:lastModifiedBy>Alex Sparta</cp:lastModifiedBy>
  <dcterms:created xsi:type="dcterms:W3CDTF">2015-06-05T18:19:34Z</dcterms:created>
  <dcterms:modified xsi:type="dcterms:W3CDTF">2024-10-06T23:28:53Z</dcterms:modified>
</cp:coreProperties>
</file>